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2.xml" ContentType="application/vnd.openxmlformats-officedocument.drawing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6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8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9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0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11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drawings/drawing12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drawings/drawing13.xml" ContentType="application/vnd.openxmlformats-officedocument.drawing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drawings/drawing14.xml" ContentType="application/vnd.openxmlformats-officedocument.drawing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15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drawings/drawing16.xml" ContentType="application/vnd.openxmlformats-officedocument.drawing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ce\Desktop\Atelier_App\"/>
    </mc:Choice>
  </mc:AlternateContent>
  <xr:revisionPtr revIDLastSave="0" documentId="13_ncr:1_{2A71A448-5D4C-494C-B92F-39732F01C7B2}" xr6:coauthVersionLast="47" xr6:coauthVersionMax="47" xr10:uidLastSave="{00000000-0000-0000-0000-000000000000}"/>
  <bookViews>
    <workbookView xWindow="-108" yWindow="-108" windowWidth="23256" windowHeight="12456" tabRatio="783" firstSheet="2" activeTab="9" xr2:uid="{00000000-000D-0000-FFFF-FFFF00000000}"/>
  </bookViews>
  <sheets>
    <sheet name="ACCUEIL" sheetId="27" r:id="rId1"/>
    <sheet name="Feuil1" sheetId="1" r:id="rId2"/>
    <sheet name="Données" sheetId="2" r:id="rId3"/>
    <sheet name="Récapitulatif" sheetId="28" r:id="rId4"/>
    <sheet name="juillet" sheetId="4" r:id="rId5"/>
    <sheet name="août" sheetId="51" r:id="rId6"/>
    <sheet name="septembre" sheetId="52" r:id="rId7"/>
    <sheet name="octobre" sheetId="53" r:id="rId8"/>
    <sheet name="novembre" sheetId="54" r:id="rId9"/>
    <sheet name="décembre" sheetId="55" r:id="rId10"/>
    <sheet name="janvier" sheetId="56" r:id="rId11"/>
    <sheet name="février" sheetId="57" r:id="rId12"/>
    <sheet name="mars" sheetId="58" r:id="rId13"/>
    <sheet name="avril" sheetId="59" r:id="rId14"/>
    <sheet name="mai" sheetId="60" r:id="rId15"/>
    <sheet name="juin" sheetId="61" r:id="rId16"/>
  </sheets>
  <functionGroups builtInGroupCount="19"/>
  <definedNames>
    <definedName name="_xleta.DAY" hidden="1" xlm="1">#NAME?</definedName>
    <definedName name="_xleta.DAYS" hidden="1" xlm="1">#NAME?</definedName>
    <definedName name="_xlnm.Print_Area" localSheetId="5">août!$A$1:$G$56</definedName>
    <definedName name="_xlnm.Print_Area" localSheetId="13">avril!$A$1:$G$56</definedName>
    <definedName name="_xlnm.Print_Area" localSheetId="9">décembre!$A$1:$G$56</definedName>
    <definedName name="_xlnm.Print_Area" localSheetId="11">février!$A$1:$G$56</definedName>
    <definedName name="_xlnm.Print_Area" localSheetId="10">janvier!$A$1:$G$56</definedName>
    <definedName name="_xlnm.Print_Area" localSheetId="4">juillet!$A$1:$G$56</definedName>
    <definedName name="_xlnm.Print_Area" localSheetId="15">juin!$A$1:$G$56</definedName>
    <definedName name="_xlnm.Print_Area" localSheetId="14">mai!$A$1:$G$56</definedName>
    <definedName name="_xlnm.Print_Area" localSheetId="12">mars!$A$1:$G$56</definedName>
    <definedName name="_xlnm.Print_Area" localSheetId="8">novembre!$A$1:$G$56</definedName>
    <definedName name="_xlnm.Print_Area" localSheetId="7">octobre!$A$1:$G$56</definedName>
    <definedName name="_xlnm.Print_Area" localSheetId="6">septembre!$A$1:$G$56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1" i="55" l="1"/>
  <c r="E29" i="55"/>
  <c r="E28" i="55"/>
  <c r="C12" i="4"/>
  <c r="A2" i="51"/>
  <c r="A2" i="4"/>
  <c r="D53" i="61"/>
  <c r="G53" i="61" s="1"/>
  <c r="C53" i="61"/>
  <c r="E53" i="61" s="1"/>
  <c r="D52" i="61"/>
  <c r="C52" i="61"/>
  <c r="E52" i="61" s="1"/>
  <c r="D51" i="61"/>
  <c r="C51" i="61"/>
  <c r="E51" i="61" s="1"/>
  <c r="D50" i="61"/>
  <c r="C50" i="61"/>
  <c r="E50" i="61" s="1"/>
  <c r="D49" i="61"/>
  <c r="C49" i="61"/>
  <c r="E49" i="61" s="1"/>
  <c r="D48" i="61"/>
  <c r="C48" i="61"/>
  <c r="E48" i="61" s="1"/>
  <c r="D47" i="61"/>
  <c r="G47" i="61" s="1"/>
  <c r="C47" i="61"/>
  <c r="E47" i="61" s="1"/>
  <c r="D46" i="61"/>
  <c r="C46" i="61"/>
  <c r="E46" i="61" s="1"/>
  <c r="D45" i="61"/>
  <c r="C45" i="61"/>
  <c r="E45" i="61" s="1"/>
  <c r="D44" i="61"/>
  <c r="C44" i="61"/>
  <c r="E44" i="61" s="1"/>
  <c r="C43" i="61"/>
  <c r="E43" i="61" s="1"/>
  <c r="B43" i="61"/>
  <c r="D43" i="61" s="1"/>
  <c r="C42" i="61"/>
  <c r="E42" i="61" s="1"/>
  <c r="B42" i="61"/>
  <c r="D42" i="61" s="1"/>
  <c r="C41" i="61"/>
  <c r="E41" i="61" s="1"/>
  <c r="B41" i="61"/>
  <c r="D41" i="61" s="1"/>
  <c r="C40" i="61"/>
  <c r="E40" i="61" s="1"/>
  <c r="B40" i="61"/>
  <c r="D40" i="61" s="1"/>
  <c r="C39" i="61"/>
  <c r="E39" i="61" s="1"/>
  <c r="B39" i="61"/>
  <c r="D39" i="61" s="1"/>
  <c r="C38" i="61"/>
  <c r="E38" i="61" s="1"/>
  <c r="B38" i="61"/>
  <c r="D38" i="61" s="1"/>
  <c r="C37" i="61"/>
  <c r="E37" i="61" s="1"/>
  <c r="B37" i="61"/>
  <c r="D37" i="61" s="1"/>
  <c r="C36" i="61"/>
  <c r="E36" i="61" s="1"/>
  <c r="B36" i="61"/>
  <c r="D36" i="61" s="1"/>
  <c r="C35" i="61"/>
  <c r="E35" i="61" s="1"/>
  <c r="B35" i="61"/>
  <c r="D35" i="61" s="1"/>
  <c r="C34" i="61"/>
  <c r="E34" i="61" s="1"/>
  <c r="B34" i="61"/>
  <c r="D34" i="61" s="1"/>
  <c r="C33" i="61"/>
  <c r="E33" i="61" s="1"/>
  <c r="B33" i="61"/>
  <c r="D33" i="61" s="1"/>
  <c r="C32" i="61"/>
  <c r="E32" i="61" s="1"/>
  <c r="B32" i="61"/>
  <c r="D32" i="61" s="1"/>
  <c r="C31" i="61"/>
  <c r="E31" i="61" s="1"/>
  <c r="B31" i="61"/>
  <c r="D31" i="61" s="1"/>
  <c r="C30" i="61"/>
  <c r="E30" i="61" s="1"/>
  <c r="B30" i="61"/>
  <c r="D30" i="61" s="1"/>
  <c r="C29" i="61"/>
  <c r="E29" i="61" s="1"/>
  <c r="B29" i="61"/>
  <c r="D29" i="61" s="1"/>
  <c r="C28" i="61"/>
  <c r="E28" i="61" s="1"/>
  <c r="B28" i="61"/>
  <c r="D28" i="61" s="1"/>
  <c r="C27" i="61"/>
  <c r="E27" i="61" s="1"/>
  <c r="B27" i="61"/>
  <c r="D27" i="61" s="1"/>
  <c r="C26" i="61"/>
  <c r="E26" i="61" s="1"/>
  <c r="B26" i="61"/>
  <c r="D26" i="61" s="1"/>
  <c r="C25" i="61"/>
  <c r="E25" i="61" s="1"/>
  <c r="B25" i="61"/>
  <c r="D25" i="61" s="1"/>
  <c r="C24" i="61"/>
  <c r="E24" i="61" s="1"/>
  <c r="B24" i="61"/>
  <c r="D24" i="61" s="1"/>
  <c r="C23" i="61"/>
  <c r="E23" i="61" s="1"/>
  <c r="B23" i="61"/>
  <c r="D23" i="61" s="1"/>
  <c r="C22" i="61"/>
  <c r="E22" i="61" s="1"/>
  <c r="B22" i="61"/>
  <c r="D22" i="61" s="1"/>
  <c r="C21" i="61"/>
  <c r="E21" i="61" s="1"/>
  <c r="B21" i="61"/>
  <c r="D21" i="61" s="1"/>
  <c r="C20" i="61"/>
  <c r="E20" i="61" s="1"/>
  <c r="B20" i="61"/>
  <c r="D20" i="61" s="1"/>
  <c r="C19" i="61"/>
  <c r="E19" i="61" s="1"/>
  <c r="B19" i="61"/>
  <c r="D19" i="61" s="1"/>
  <c r="C18" i="61"/>
  <c r="E18" i="61" s="1"/>
  <c r="B18" i="61"/>
  <c r="D18" i="61" s="1"/>
  <c r="C17" i="61"/>
  <c r="E17" i="61" s="1"/>
  <c r="B17" i="61"/>
  <c r="D17" i="61" s="1"/>
  <c r="C16" i="61"/>
  <c r="E16" i="61" s="1"/>
  <c r="B16" i="61"/>
  <c r="D16" i="61" s="1"/>
  <c r="C15" i="61"/>
  <c r="E15" i="61" s="1"/>
  <c r="B15" i="61"/>
  <c r="D15" i="61" s="1"/>
  <c r="C14" i="61"/>
  <c r="E14" i="61" s="1"/>
  <c r="B14" i="61"/>
  <c r="D14" i="61" s="1"/>
  <c r="C13" i="61"/>
  <c r="E13" i="61" s="1"/>
  <c r="B13" i="61"/>
  <c r="D13" i="61" s="1"/>
  <c r="C12" i="61"/>
  <c r="E12" i="61" s="1"/>
  <c r="B12" i="61"/>
  <c r="D12" i="61" s="1"/>
  <c r="C11" i="61"/>
  <c r="E11" i="61" s="1"/>
  <c r="B11" i="61"/>
  <c r="D11" i="61" s="1"/>
  <c r="C10" i="61"/>
  <c r="E10" i="61" s="1"/>
  <c r="B10" i="61"/>
  <c r="D10" i="61" s="1"/>
  <c r="C9" i="61"/>
  <c r="E9" i="61" s="1"/>
  <c r="B9" i="61"/>
  <c r="D9" i="61" s="1"/>
  <c r="C8" i="61"/>
  <c r="E8" i="61" s="1"/>
  <c r="B8" i="61"/>
  <c r="D8" i="61" s="1"/>
  <c r="C7" i="61"/>
  <c r="E7" i="61" s="1"/>
  <c r="B7" i="61"/>
  <c r="D7" i="61" s="1"/>
  <c r="C6" i="61"/>
  <c r="E6" i="61" s="1"/>
  <c r="B6" i="61"/>
  <c r="D6" i="61" s="1"/>
  <c r="G5" i="61"/>
  <c r="F5" i="61"/>
  <c r="C5" i="61"/>
  <c r="M3" i="61"/>
  <c r="M2" i="61"/>
  <c r="A2" i="61"/>
  <c r="D53" i="60"/>
  <c r="G53" i="60" s="1"/>
  <c r="C53" i="60"/>
  <c r="E53" i="60" s="1"/>
  <c r="D52" i="60"/>
  <c r="C52" i="60"/>
  <c r="E52" i="60" s="1"/>
  <c r="D51" i="60"/>
  <c r="C51" i="60"/>
  <c r="E51" i="60" s="1"/>
  <c r="D50" i="60"/>
  <c r="C50" i="60"/>
  <c r="E50" i="60" s="1"/>
  <c r="D49" i="60"/>
  <c r="C49" i="60"/>
  <c r="E49" i="60" s="1"/>
  <c r="D48" i="60"/>
  <c r="C48" i="60"/>
  <c r="E48" i="60" s="1"/>
  <c r="D47" i="60"/>
  <c r="G47" i="60" s="1"/>
  <c r="C47" i="60"/>
  <c r="E47" i="60" s="1"/>
  <c r="D46" i="60"/>
  <c r="C46" i="60"/>
  <c r="E46" i="60" s="1"/>
  <c r="D45" i="60"/>
  <c r="C45" i="60"/>
  <c r="E45" i="60" s="1"/>
  <c r="D44" i="60"/>
  <c r="C44" i="60"/>
  <c r="E44" i="60" s="1"/>
  <c r="C43" i="60"/>
  <c r="E43" i="60" s="1"/>
  <c r="B43" i="60"/>
  <c r="D43" i="60" s="1"/>
  <c r="C42" i="60"/>
  <c r="E42" i="60" s="1"/>
  <c r="B42" i="60"/>
  <c r="D42" i="60" s="1"/>
  <c r="C41" i="60"/>
  <c r="E41" i="60" s="1"/>
  <c r="B41" i="60"/>
  <c r="D41" i="60" s="1"/>
  <c r="C40" i="60"/>
  <c r="E40" i="60" s="1"/>
  <c r="B40" i="60"/>
  <c r="D40" i="60" s="1"/>
  <c r="C39" i="60"/>
  <c r="E39" i="60" s="1"/>
  <c r="B39" i="60"/>
  <c r="D39" i="60" s="1"/>
  <c r="C38" i="60"/>
  <c r="E38" i="60" s="1"/>
  <c r="B38" i="60"/>
  <c r="D38" i="60" s="1"/>
  <c r="C37" i="60"/>
  <c r="E37" i="60" s="1"/>
  <c r="B37" i="60"/>
  <c r="D37" i="60" s="1"/>
  <c r="C36" i="60"/>
  <c r="E36" i="60" s="1"/>
  <c r="B36" i="60"/>
  <c r="D36" i="60" s="1"/>
  <c r="C35" i="60"/>
  <c r="E35" i="60" s="1"/>
  <c r="B35" i="60"/>
  <c r="D35" i="60" s="1"/>
  <c r="C34" i="60"/>
  <c r="E34" i="60" s="1"/>
  <c r="B34" i="60"/>
  <c r="D34" i="60" s="1"/>
  <c r="C33" i="60"/>
  <c r="E33" i="60" s="1"/>
  <c r="B33" i="60"/>
  <c r="D33" i="60" s="1"/>
  <c r="C32" i="60"/>
  <c r="E32" i="60" s="1"/>
  <c r="B32" i="60"/>
  <c r="D32" i="60" s="1"/>
  <c r="C31" i="60"/>
  <c r="E31" i="60" s="1"/>
  <c r="B31" i="60"/>
  <c r="D31" i="60" s="1"/>
  <c r="C30" i="60"/>
  <c r="E30" i="60" s="1"/>
  <c r="B30" i="60"/>
  <c r="D30" i="60" s="1"/>
  <c r="C29" i="60"/>
  <c r="E29" i="60" s="1"/>
  <c r="B29" i="60"/>
  <c r="D29" i="60" s="1"/>
  <c r="C28" i="60"/>
  <c r="E28" i="60" s="1"/>
  <c r="B28" i="60"/>
  <c r="D28" i="60" s="1"/>
  <c r="C27" i="60"/>
  <c r="E27" i="60" s="1"/>
  <c r="B27" i="60"/>
  <c r="D27" i="60" s="1"/>
  <c r="C26" i="60"/>
  <c r="E26" i="60" s="1"/>
  <c r="B26" i="60"/>
  <c r="D26" i="60" s="1"/>
  <c r="C25" i="60"/>
  <c r="E25" i="60" s="1"/>
  <c r="B25" i="60"/>
  <c r="D25" i="60" s="1"/>
  <c r="C24" i="60"/>
  <c r="E24" i="60" s="1"/>
  <c r="B24" i="60"/>
  <c r="D24" i="60" s="1"/>
  <c r="C23" i="60"/>
  <c r="E23" i="60" s="1"/>
  <c r="B23" i="60"/>
  <c r="D23" i="60" s="1"/>
  <c r="C22" i="60"/>
  <c r="E22" i="60" s="1"/>
  <c r="B22" i="60"/>
  <c r="D22" i="60" s="1"/>
  <c r="C21" i="60"/>
  <c r="E21" i="60" s="1"/>
  <c r="B21" i="60"/>
  <c r="D21" i="60" s="1"/>
  <c r="C20" i="60"/>
  <c r="E20" i="60" s="1"/>
  <c r="B20" i="60"/>
  <c r="D20" i="60" s="1"/>
  <c r="C19" i="60"/>
  <c r="E19" i="60" s="1"/>
  <c r="B19" i="60"/>
  <c r="D19" i="60" s="1"/>
  <c r="C18" i="60"/>
  <c r="E18" i="60" s="1"/>
  <c r="B18" i="60"/>
  <c r="D18" i="60" s="1"/>
  <c r="C17" i="60"/>
  <c r="E17" i="60" s="1"/>
  <c r="B17" i="60"/>
  <c r="D17" i="60" s="1"/>
  <c r="C16" i="60"/>
  <c r="E16" i="60" s="1"/>
  <c r="B16" i="60"/>
  <c r="D16" i="60" s="1"/>
  <c r="C15" i="60"/>
  <c r="E15" i="60" s="1"/>
  <c r="B15" i="60"/>
  <c r="D15" i="60" s="1"/>
  <c r="C14" i="60"/>
  <c r="E14" i="60" s="1"/>
  <c r="B14" i="60"/>
  <c r="D14" i="60" s="1"/>
  <c r="C13" i="60"/>
  <c r="E13" i="60" s="1"/>
  <c r="B13" i="60"/>
  <c r="D13" i="60" s="1"/>
  <c r="C12" i="60"/>
  <c r="E12" i="60" s="1"/>
  <c r="B12" i="60"/>
  <c r="D12" i="60" s="1"/>
  <c r="C11" i="60"/>
  <c r="E11" i="60" s="1"/>
  <c r="B11" i="60"/>
  <c r="D11" i="60" s="1"/>
  <c r="C10" i="60"/>
  <c r="E10" i="60" s="1"/>
  <c r="B10" i="60"/>
  <c r="D10" i="60" s="1"/>
  <c r="C9" i="60"/>
  <c r="E9" i="60" s="1"/>
  <c r="B9" i="60"/>
  <c r="D9" i="60" s="1"/>
  <c r="C8" i="60"/>
  <c r="E8" i="60" s="1"/>
  <c r="B8" i="60"/>
  <c r="D8" i="60" s="1"/>
  <c r="C7" i="60"/>
  <c r="E7" i="60" s="1"/>
  <c r="B7" i="60"/>
  <c r="D7" i="60" s="1"/>
  <c r="C6" i="60"/>
  <c r="E6" i="60" s="1"/>
  <c r="B6" i="60"/>
  <c r="D6" i="60" s="1"/>
  <c r="G5" i="60"/>
  <c r="F5" i="60"/>
  <c r="C5" i="60"/>
  <c r="M3" i="60"/>
  <c r="M2" i="60"/>
  <c r="A2" i="60"/>
  <c r="D53" i="59"/>
  <c r="G53" i="59" s="1"/>
  <c r="C53" i="59"/>
  <c r="E53" i="59" s="1"/>
  <c r="D52" i="59"/>
  <c r="C52" i="59"/>
  <c r="E52" i="59" s="1"/>
  <c r="D51" i="59"/>
  <c r="C51" i="59"/>
  <c r="E51" i="59" s="1"/>
  <c r="D50" i="59"/>
  <c r="C50" i="59"/>
  <c r="E50" i="59" s="1"/>
  <c r="D49" i="59"/>
  <c r="C49" i="59"/>
  <c r="E49" i="59" s="1"/>
  <c r="D48" i="59"/>
  <c r="C48" i="59"/>
  <c r="E48" i="59" s="1"/>
  <c r="D47" i="59"/>
  <c r="G47" i="59" s="1"/>
  <c r="C47" i="59"/>
  <c r="E47" i="59" s="1"/>
  <c r="D46" i="59"/>
  <c r="C46" i="59"/>
  <c r="E46" i="59" s="1"/>
  <c r="D45" i="59"/>
  <c r="C45" i="59"/>
  <c r="E45" i="59" s="1"/>
  <c r="D44" i="59"/>
  <c r="C44" i="59"/>
  <c r="E44" i="59" s="1"/>
  <c r="C43" i="59"/>
  <c r="E43" i="59" s="1"/>
  <c r="B43" i="59"/>
  <c r="D43" i="59" s="1"/>
  <c r="C42" i="59"/>
  <c r="E42" i="59" s="1"/>
  <c r="B42" i="59"/>
  <c r="D42" i="59" s="1"/>
  <c r="C41" i="59"/>
  <c r="E41" i="59" s="1"/>
  <c r="B41" i="59"/>
  <c r="D41" i="59" s="1"/>
  <c r="C40" i="59"/>
  <c r="E40" i="59" s="1"/>
  <c r="B40" i="59"/>
  <c r="D40" i="59" s="1"/>
  <c r="C39" i="59"/>
  <c r="E39" i="59" s="1"/>
  <c r="B39" i="59"/>
  <c r="D39" i="59" s="1"/>
  <c r="C38" i="59"/>
  <c r="E38" i="59" s="1"/>
  <c r="B38" i="59"/>
  <c r="D38" i="59" s="1"/>
  <c r="C37" i="59"/>
  <c r="E37" i="59" s="1"/>
  <c r="B37" i="59"/>
  <c r="D37" i="59" s="1"/>
  <c r="C36" i="59"/>
  <c r="E36" i="59" s="1"/>
  <c r="B36" i="59"/>
  <c r="D36" i="59" s="1"/>
  <c r="C35" i="59"/>
  <c r="E35" i="59" s="1"/>
  <c r="B35" i="59"/>
  <c r="D35" i="59" s="1"/>
  <c r="C34" i="59"/>
  <c r="E34" i="59" s="1"/>
  <c r="B34" i="59"/>
  <c r="D34" i="59" s="1"/>
  <c r="C33" i="59"/>
  <c r="E33" i="59" s="1"/>
  <c r="B33" i="59"/>
  <c r="D33" i="59" s="1"/>
  <c r="C32" i="59"/>
  <c r="E32" i="59" s="1"/>
  <c r="B32" i="59"/>
  <c r="D32" i="59" s="1"/>
  <c r="C31" i="59"/>
  <c r="E31" i="59" s="1"/>
  <c r="B31" i="59"/>
  <c r="D31" i="59" s="1"/>
  <c r="C30" i="59"/>
  <c r="E30" i="59" s="1"/>
  <c r="B30" i="59"/>
  <c r="D30" i="59" s="1"/>
  <c r="C29" i="59"/>
  <c r="E29" i="59" s="1"/>
  <c r="B29" i="59"/>
  <c r="D29" i="59" s="1"/>
  <c r="C28" i="59"/>
  <c r="E28" i="59" s="1"/>
  <c r="B28" i="59"/>
  <c r="D28" i="59" s="1"/>
  <c r="C27" i="59"/>
  <c r="E27" i="59" s="1"/>
  <c r="B27" i="59"/>
  <c r="D27" i="59" s="1"/>
  <c r="C26" i="59"/>
  <c r="E26" i="59" s="1"/>
  <c r="B26" i="59"/>
  <c r="D26" i="59" s="1"/>
  <c r="C25" i="59"/>
  <c r="E25" i="59" s="1"/>
  <c r="B25" i="59"/>
  <c r="D25" i="59" s="1"/>
  <c r="C24" i="59"/>
  <c r="E24" i="59" s="1"/>
  <c r="B24" i="59"/>
  <c r="D24" i="59" s="1"/>
  <c r="C23" i="59"/>
  <c r="E23" i="59" s="1"/>
  <c r="B23" i="59"/>
  <c r="D23" i="59" s="1"/>
  <c r="C22" i="59"/>
  <c r="E22" i="59" s="1"/>
  <c r="B22" i="59"/>
  <c r="D22" i="59" s="1"/>
  <c r="C21" i="59"/>
  <c r="E21" i="59" s="1"/>
  <c r="B21" i="59"/>
  <c r="D21" i="59" s="1"/>
  <c r="C20" i="59"/>
  <c r="E20" i="59" s="1"/>
  <c r="B20" i="59"/>
  <c r="D20" i="59" s="1"/>
  <c r="C19" i="59"/>
  <c r="E19" i="59" s="1"/>
  <c r="B19" i="59"/>
  <c r="D19" i="59" s="1"/>
  <c r="C18" i="59"/>
  <c r="E18" i="59" s="1"/>
  <c r="B18" i="59"/>
  <c r="D18" i="59" s="1"/>
  <c r="C17" i="59"/>
  <c r="E17" i="59" s="1"/>
  <c r="B17" i="59"/>
  <c r="D17" i="59" s="1"/>
  <c r="C16" i="59"/>
  <c r="E16" i="59" s="1"/>
  <c r="B16" i="59"/>
  <c r="D16" i="59" s="1"/>
  <c r="C15" i="59"/>
  <c r="E15" i="59" s="1"/>
  <c r="B15" i="59"/>
  <c r="D15" i="59" s="1"/>
  <c r="C14" i="59"/>
  <c r="E14" i="59" s="1"/>
  <c r="B14" i="59"/>
  <c r="D14" i="59" s="1"/>
  <c r="C13" i="59"/>
  <c r="E13" i="59" s="1"/>
  <c r="B13" i="59"/>
  <c r="D13" i="59" s="1"/>
  <c r="C12" i="59"/>
  <c r="E12" i="59" s="1"/>
  <c r="B12" i="59"/>
  <c r="D12" i="59" s="1"/>
  <c r="C11" i="59"/>
  <c r="E11" i="59" s="1"/>
  <c r="B11" i="59"/>
  <c r="D11" i="59" s="1"/>
  <c r="C10" i="59"/>
  <c r="E10" i="59" s="1"/>
  <c r="B10" i="59"/>
  <c r="D10" i="59" s="1"/>
  <c r="C9" i="59"/>
  <c r="E9" i="59" s="1"/>
  <c r="B9" i="59"/>
  <c r="D9" i="59" s="1"/>
  <c r="C8" i="59"/>
  <c r="E8" i="59" s="1"/>
  <c r="B8" i="59"/>
  <c r="D8" i="59" s="1"/>
  <c r="C7" i="59"/>
  <c r="E7" i="59" s="1"/>
  <c r="B7" i="59"/>
  <c r="D7" i="59" s="1"/>
  <c r="C6" i="59"/>
  <c r="E6" i="59" s="1"/>
  <c r="B6" i="59"/>
  <c r="D6" i="59" s="1"/>
  <c r="G5" i="59"/>
  <c r="F5" i="59"/>
  <c r="C5" i="59"/>
  <c r="M3" i="59"/>
  <c r="M2" i="59"/>
  <c r="A2" i="59"/>
  <c r="D53" i="58"/>
  <c r="G53" i="58" s="1"/>
  <c r="C53" i="58"/>
  <c r="E53" i="58" s="1"/>
  <c r="D52" i="58"/>
  <c r="C52" i="58"/>
  <c r="E52" i="58" s="1"/>
  <c r="D51" i="58"/>
  <c r="C51" i="58"/>
  <c r="E51" i="58" s="1"/>
  <c r="D50" i="58"/>
  <c r="C50" i="58"/>
  <c r="E50" i="58" s="1"/>
  <c r="D49" i="58"/>
  <c r="C49" i="58"/>
  <c r="E49" i="58" s="1"/>
  <c r="D48" i="58"/>
  <c r="C48" i="58"/>
  <c r="E48" i="58" s="1"/>
  <c r="D47" i="58"/>
  <c r="G47" i="58" s="1"/>
  <c r="C47" i="58"/>
  <c r="E47" i="58" s="1"/>
  <c r="D46" i="58"/>
  <c r="C46" i="58"/>
  <c r="E46" i="58" s="1"/>
  <c r="D45" i="58"/>
  <c r="C45" i="58"/>
  <c r="E45" i="58" s="1"/>
  <c r="D44" i="58"/>
  <c r="C44" i="58"/>
  <c r="E44" i="58" s="1"/>
  <c r="C43" i="58"/>
  <c r="E43" i="58" s="1"/>
  <c r="B43" i="58"/>
  <c r="D43" i="58" s="1"/>
  <c r="C42" i="58"/>
  <c r="E42" i="58" s="1"/>
  <c r="B42" i="58"/>
  <c r="D42" i="58" s="1"/>
  <c r="C41" i="58"/>
  <c r="E41" i="58" s="1"/>
  <c r="B41" i="58"/>
  <c r="D41" i="58" s="1"/>
  <c r="C40" i="58"/>
  <c r="E40" i="58" s="1"/>
  <c r="B40" i="58"/>
  <c r="D40" i="58" s="1"/>
  <c r="C39" i="58"/>
  <c r="E39" i="58" s="1"/>
  <c r="B39" i="58"/>
  <c r="D39" i="58" s="1"/>
  <c r="C38" i="58"/>
  <c r="E38" i="58" s="1"/>
  <c r="B38" i="58"/>
  <c r="D38" i="58" s="1"/>
  <c r="C37" i="58"/>
  <c r="E37" i="58" s="1"/>
  <c r="B37" i="58"/>
  <c r="D37" i="58" s="1"/>
  <c r="C36" i="58"/>
  <c r="E36" i="58" s="1"/>
  <c r="B36" i="58"/>
  <c r="D36" i="58" s="1"/>
  <c r="C35" i="58"/>
  <c r="E35" i="58" s="1"/>
  <c r="B35" i="58"/>
  <c r="D35" i="58" s="1"/>
  <c r="C34" i="58"/>
  <c r="E34" i="58" s="1"/>
  <c r="B34" i="58"/>
  <c r="D34" i="58" s="1"/>
  <c r="C33" i="58"/>
  <c r="E33" i="58" s="1"/>
  <c r="B33" i="58"/>
  <c r="D33" i="58" s="1"/>
  <c r="C32" i="58"/>
  <c r="E32" i="58" s="1"/>
  <c r="B32" i="58"/>
  <c r="D32" i="58" s="1"/>
  <c r="C31" i="58"/>
  <c r="E31" i="58" s="1"/>
  <c r="B31" i="58"/>
  <c r="D31" i="58" s="1"/>
  <c r="C30" i="58"/>
  <c r="E30" i="58" s="1"/>
  <c r="B30" i="58"/>
  <c r="D30" i="58" s="1"/>
  <c r="C29" i="58"/>
  <c r="E29" i="58" s="1"/>
  <c r="B29" i="58"/>
  <c r="D29" i="58" s="1"/>
  <c r="C28" i="58"/>
  <c r="E28" i="58" s="1"/>
  <c r="B28" i="58"/>
  <c r="D28" i="58" s="1"/>
  <c r="C27" i="58"/>
  <c r="E27" i="58" s="1"/>
  <c r="B27" i="58"/>
  <c r="D27" i="58" s="1"/>
  <c r="C26" i="58"/>
  <c r="E26" i="58" s="1"/>
  <c r="B26" i="58"/>
  <c r="D26" i="58" s="1"/>
  <c r="C25" i="58"/>
  <c r="E25" i="58" s="1"/>
  <c r="B25" i="58"/>
  <c r="D25" i="58" s="1"/>
  <c r="C24" i="58"/>
  <c r="E24" i="58" s="1"/>
  <c r="B24" i="58"/>
  <c r="D24" i="58" s="1"/>
  <c r="C23" i="58"/>
  <c r="E23" i="58" s="1"/>
  <c r="B23" i="58"/>
  <c r="D23" i="58" s="1"/>
  <c r="C22" i="58"/>
  <c r="E22" i="58" s="1"/>
  <c r="B22" i="58"/>
  <c r="D22" i="58" s="1"/>
  <c r="C21" i="58"/>
  <c r="E21" i="58" s="1"/>
  <c r="B21" i="58"/>
  <c r="D21" i="58" s="1"/>
  <c r="C20" i="58"/>
  <c r="E20" i="58" s="1"/>
  <c r="B20" i="58"/>
  <c r="D20" i="58" s="1"/>
  <c r="C19" i="58"/>
  <c r="E19" i="58" s="1"/>
  <c r="B19" i="58"/>
  <c r="D19" i="58" s="1"/>
  <c r="C18" i="58"/>
  <c r="E18" i="58" s="1"/>
  <c r="B18" i="58"/>
  <c r="D18" i="58" s="1"/>
  <c r="C17" i="58"/>
  <c r="E17" i="58" s="1"/>
  <c r="B17" i="58"/>
  <c r="D17" i="58" s="1"/>
  <c r="C16" i="58"/>
  <c r="E16" i="58" s="1"/>
  <c r="B16" i="58"/>
  <c r="D16" i="58" s="1"/>
  <c r="C15" i="58"/>
  <c r="E15" i="58" s="1"/>
  <c r="B15" i="58"/>
  <c r="D15" i="58" s="1"/>
  <c r="C14" i="58"/>
  <c r="E14" i="58" s="1"/>
  <c r="B14" i="58"/>
  <c r="D14" i="58" s="1"/>
  <c r="C13" i="58"/>
  <c r="E13" i="58" s="1"/>
  <c r="B13" i="58"/>
  <c r="D13" i="58" s="1"/>
  <c r="C12" i="58"/>
  <c r="E12" i="58" s="1"/>
  <c r="B12" i="58"/>
  <c r="D12" i="58" s="1"/>
  <c r="C11" i="58"/>
  <c r="E11" i="58" s="1"/>
  <c r="B11" i="58"/>
  <c r="D11" i="58" s="1"/>
  <c r="C10" i="58"/>
  <c r="E10" i="58" s="1"/>
  <c r="B10" i="58"/>
  <c r="D10" i="58" s="1"/>
  <c r="C9" i="58"/>
  <c r="E9" i="58" s="1"/>
  <c r="B9" i="58"/>
  <c r="D9" i="58" s="1"/>
  <c r="C8" i="58"/>
  <c r="E8" i="58" s="1"/>
  <c r="B8" i="58"/>
  <c r="D8" i="58" s="1"/>
  <c r="C7" i="58"/>
  <c r="E7" i="58" s="1"/>
  <c r="B7" i="58"/>
  <c r="D7" i="58" s="1"/>
  <c r="C6" i="58"/>
  <c r="E6" i="58" s="1"/>
  <c r="B6" i="58"/>
  <c r="D6" i="58" s="1"/>
  <c r="G5" i="58"/>
  <c r="F5" i="58"/>
  <c r="C5" i="58"/>
  <c r="M3" i="58"/>
  <c r="M2" i="58"/>
  <c r="A2" i="58"/>
  <c r="D53" i="57"/>
  <c r="G53" i="57" s="1"/>
  <c r="C53" i="57"/>
  <c r="E53" i="57" s="1"/>
  <c r="D52" i="57"/>
  <c r="C52" i="57"/>
  <c r="E52" i="57" s="1"/>
  <c r="D51" i="57"/>
  <c r="C51" i="57"/>
  <c r="E51" i="57" s="1"/>
  <c r="D50" i="57"/>
  <c r="C50" i="57"/>
  <c r="E50" i="57" s="1"/>
  <c r="D49" i="57"/>
  <c r="C49" i="57"/>
  <c r="E49" i="57" s="1"/>
  <c r="D48" i="57"/>
  <c r="C48" i="57"/>
  <c r="E48" i="57" s="1"/>
  <c r="D47" i="57"/>
  <c r="G47" i="57" s="1"/>
  <c r="C47" i="57"/>
  <c r="E47" i="57" s="1"/>
  <c r="D46" i="57"/>
  <c r="C46" i="57"/>
  <c r="E46" i="57" s="1"/>
  <c r="D45" i="57"/>
  <c r="C45" i="57"/>
  <c r="E45" i="57" s="1"/>
  <c r="D44" i="57"/>
  <c r="C44" i="57"/>
  <c r="E44" i="57" s="1"/>
  <c r="C43" i="57"/>
  <c r="E43" i="57" s="1"/>
  <c r="B43" i="57"/>
  <c r="D43" i="57" s="1"/>
  <c r="C42" i="57"/>
  <c r="E42" i="57" s="1"/>
  <c r="B42" i="57"/>
  <c r="D42" i="57" s="1"/>
  <c r="C41" i="57"/>
  <c r="E41" i="57" s="1"/>
  <c r="B41" i="57"/>
  <c r="D41" i="57" s="1"/>
  <c r="C40" i="57"/>
  <c r="E40" i="57" s="1"/>
  <c r="B40" i="57"/>
  <c r="D40" i="57" s="1"/>
  <c r="C39" i="57"/>
  <c r="E39" i="57" s="1"/>
  <c r="B39" i="57"/>
  <c r="D39" i="57" s="1"/>
  <c r="C38" i="57"/>
  <c r="E38" i="57" s="1"/>
  <c r="B38" i="57"/>
  <c r="D38" i="57" s="1"/>
  <c r="C37" i="57"/>
  <c r="E37" i="57" s="1"/>
  <c r="B37" i="57"/>
  <c r="D37" i="57" s="1"/>
  <c r="C36" i="57"/>
  <c r="E36" i="57" s="1"/>
  <c r="B36" i="57"/>
  <c r="D36" i="57" s="1"/>
  <c r="C35" i="57"/>
  <c r="E35" i="57" s="1"/>
  <c r="B35" i="57"/>
  <c r="D35" i="57" s="1"/>
  <c r="C34" i="57"/>
  <c r="E34" i="57" s="1"/>
  <c r="B34" i="57"/>
  <c r="D34" i="57" s="1"/>
  <c r="C33" i="57"/>
  <c r="E33" i="57" s="1"/>
  <c r="B33" i="57"/>
  <c r="D33" i="57" s="1"/>
  <c r="C32" i="57"/>
  <c r="E32" i="57" s="1"/>
  <c r="B32" i="57"/>
  <c r="D32" i="57" s="1"/>
  <c r="C31" i="57"/>
  <c r="E31" i="57" s="1"/>
  <c r="B31" i="57"/>
  <c r="D31" i="57" s="1"/>
  <c r="C30" i="57"/>
  <c r="E30" i="57" s="1"/>
  <c r="B30" i="57"/>
  <c r="D30" i="57" s="1"/>
  <c r="C29" i="57"/>
  <c r="E29" i="57" s="1"/>
  <c r="B29" i="57"/>
  <c r="D29" i="57" s="1"/>
  <c r="C28" i="57"/>
  <c r="E28" i="57" s="1"/>
  <c r="B28" i="57"/>
  <c r="D28" i="57" s="1"/>
  <c r="C27" i="57"/>
  <c r="E27" i="57" s="1"/>
  <c r="B27" i="57"/>
  <c r="D27" i="57" s="1"/>
  <c r="C26" i="57"/>
  <c r="E26" i="57" s="1"/>
  <c r="B26" i="57"/>
  <c r="D26" i="57" s="1"/>
  <c r="C25" i="57"/>
  <c r="E25" i="57" s="1"/>
  <c r="B25" i="57"/>
  <c r="D25" i="57" s="1"/>
  <c r="C24" i="57"/>
  <c r="E24" i="57" s="1"/>
  <c r="B24" i="57"/>
  <c r="D24" i="57" s="1"/>
  <c r="C23" i="57"/>
  <c r="E23" i="57" s="1"/>
  <c r="B23" i="57"/>
  <c r="D23" i="57" s="1"/>
  <c r="C22" i="57"/>
  <c r="E22" i="57" s="1"/>
  <c r="B22" i="57"/>
  <c r="D22" i="57" s="1"/>
  <c r="C21" i="57"/>
  <c r="E21" i="57" s="1"/>
  <c r="B21" i="57"/>
  <c r="D21" i="57" s="1"/>
  <c r="C20" i="57"/>
  <c r="E20" i="57" s="1"/>
  <c r="B20" i="57"/>
  <c r="D20" i="57" s="1"/>
  <c r="C19" i="57"/>
  <c r="E19" i="57" s="1"/>
  <c r="B19" i="57"/>
  <c r="D19" i="57" s="1"/>
  <c r="C18" i="57"/>
  <c r="E18" i="57" s="1"/>
  <c r="B18" i="57"/>
  <c r="D18" i="57" s="1"/>
  <c r="C17" i="57"/>
  <c r="E17" i="57" s="1"/>
  <c r="B17" i="57"/>
  <c r="D17" i="57" s="1"/>
  <c r="C16" i="57"/>
  <c r="E16" i="57" s="1"/>
  <c r="B16" i="57"/>
  <c r="D16" i="57" s="1"/>
  <c r="C15" i="57"/>
  <c r="E15" i="57" s="1"/>
  <c r="B15" i="57"/>
  <c r="D15" i="57" s="1"/>
  <c r="C14" i="57"/>
  <c r="E14" i="57" s="1"/>
  <c r="B14" i="57"/>
  <c r="D14" i="57" s="1"/>
  <c r="C13" i="57"/>
  <c r="E13" i="57" s="1"/>
  <c r="B13" i="57"/>
  <c r="D13" i="57" s="1"/>
  <c r="C12" i="57"/>
  <c r="E12" i="57" s="1"/>
  <c r="B12" i="57"/>
  <c r="D12" i="57" s="1"/>
  <c r="C11" i="57"/>
  <c r="E11" i="57" s="1"/>
  <c r="B11" i="57"/>
  <c r="D11" i="57" s="1"/>
  <c r="C10" i="57"/>
  <c r="E10" i="57" s="1"/>
  <c r="B10" i="57"/>
  <c r="D10" i="57" s="1"/>
  <c r="C9" i="57"/>
  <c r="E9" i="57" s="1"/>
  <c r="B9" i="57"/>
  <c r="D9" i="57" s="1"/>
  <c r="C8" i="57"/>
  <c r="E8" i="57" s="1"/>
  <c r="B8" i="57"/>
  <c r="D8" i="57" s="1"/>
  <c r="C7" i="57"/>
  <c r="E7" i="57" s="1"/>
  <c r="B7" i="57"/>
  <c r="D7" i="57" s="1"/>
  <c r="C6" i="57"/>
  <c r="E6" i="57" s="1"/>
  <c r="B6" i="57"/>
  <c r="D6" i="57" s="1"/>
  <c r="G5" i="57"/>
  <c r="F5" i="57"/>
  <c r="C5" i="57"/>
  <c r="M3" i="57"/>
  <c r="M2" i="57"/>
  <c r="A2" i="57"/>
  <c r="D53" i="56"/>
  <c r="G53" i="56" s="1"/>
  <c r="C53" i="56"/>
  <c r="E53" i="56" s="1"/>
  <c r="D52" i="56"/>
  <c r="C52" i="56"/>
  <c r="E52" i="56" s="1"/>
  <c r="D51" i="56"/>
  <c r="C51" i="56"/>
  <c r="E51" i="56" s="1"/>
  <c r="D50" i="56"/>
  <c r="C50" i="56"/>
  <c r="E50" i="56" s="1"/>
  <c r="D49" i="56"/>
  <c r="C49" i="56"/>
  <c r="E49" i="56" s="1"/>
  <c r="D48" i="56"/>
  <c r="C48" i="56"/>
  <c r="E48" i="56" s="1"/>
  <c r="D47" i="56"/>
  <c r="G47" i="56" s="1"/>
  <c r="C47" i="56"/>
  <c r="E47" i="56" s="1"/>
  <c r="D46" i="56"/>
  <c r="C46" i="56"/>
  <c r="E46" i="56" s="1"/>
  <c r="D45" i="56"/>
  <c r="C45" i="56"/>
  <c r="E45" i="56" s="1"/>
  <c r="D44" i="56"/>
  <c r="C44" i="56"/>
  <c r="E44" i="56" s="1"/>
  <c r="C43" i="56"/>
  <c r="E43" i="56" s="1"/>
  <c r="B43" i="56"/>
  <c r="D43" i="56" s="1"/>
  <c r="C42" i="56"/>
  <c r="E42" i="56" s="1"/>
  <c r="B42" i="56"/>
  <c r="D42" i="56" s="1"/>
  <c r="C41" i="56"/>
  <c r="E41" i="56" s="1"/>
  <c r="B41" i="56"/>
  <c r="D41" i="56" s="1"/>
  <c r="C40" i="56"/>
  <c r="E40" i="56" s="1"/>
  <c r="B40" i="56"/>
  <c r="D40" i="56" s="1"/>
  <c r="C39" i="56"/>
  <c r="E39" i="56" s="1"/>
  <c r="B39" i="56"/>
  <c r="D39" i="56" s="1"/>
  <c r="C38" i="56"/>
  <c r="E38" i="56" s="1"/>
  <c r="B38" i="56"/>
  <c r="D38" i="56" s="1"/>
  <c r="C37" i="56"/>
  <c r="E37" i="56" s="1"/>
  <c r="B37" i="56"/>
  <c r="D37" i="56" s="1"/>
  <c r="C36" i="56"/>
  <c r="E36" i="56" s="1"/>
  <c r="B36" i="56"/>
  <c r="D36" i="56" s="1"/>
  <c r="C35" i="56"/>
  <c r="E35" i="56" s="1"/>
  <c r="B35" i="56"/>
  <c r="D35" i="56" s="1"/>
  <c r="C34" i="56"/>
  <c r="E34" i="56" s="1"/>
  <c r="B34" i="56"/>
  <c r="D34" i="56" s="1"/>
  <c r="C33" i="56"/>
  <c r="E33" i="56" s="1"/>
  <c r="B33" i="56"/>
  <c r="D33" i="56" s="1"/>
  <c r="C32" i="56"/>
  <c r="E32" i="56" s="1"/>
  <c r="B32" i="56"/>
  <c r="D32" i="56" s="1"/>
  <c r="C31" i="56"/>
  <c r="E31" i="56" s="1"/>
  <c r="B31" i="56"/>
  <c r="D31" i="56" s="1"/>
  <c r="C30" i="56"/>
  <c r="E30" i="56" s="1"/>
  <c r="B30" i="56"/>
  <c r="D30" i="56" s="1"/>
  <c r="C29" i="56"/>
  <c r="E29" i="56" s="1"/>
  <c r="B29" i="56"/>
  <c r="D29" i="56" s="1"/>
  <c r="C28" i="56"/>
  <c r="E28" i="56" s="1"/>
  <c r="B28" i="56"/>
  <c r="D28" i="56" s="1"/>
  <c r="C27" i="56"/>
  <c r="E27" i="56" s="1"/>
  <c r="B27" i="56"/>
  <c r="D27" i="56" s="1"/>
  <c r="C26" i="56"/>
  <c r="E26" i="56" s="1"/>
  <c r="B26" i="56"/>
  <c r="D26" i="56" s="1"/>
  <c r="C25" i="56"/>
  <c r="E25" i="56" s="1"/>
  <c r="B25" i="56"/>
  <c r="D25" i="56" s="1"/>
  <c r="C24" i="56"/>
  <c r="E24" i="56" s="1"/>
  <c r="B24" i="56"/>
  <c r="D24" i="56" s="1"/>
  <c r="C23" i="56"/>
  <c r="E23" i="56" s="1"/>
  <c r="B23" i="56"/>
  <c r="D23" i="56" s="1"/>
  <c r="C22" i="56"/>
  <c r="E22" i="56" s="1"/>
  <c r="B22" i="56"/>
  <c r="D22" i="56" s="1"/>
  <c r="C21" i="56"/>
  <c r="E21" i="56" s="1"/>
  <c r="B21" i="56"/>
  <c r="D21" i="56" s="1"/>
  <c r="C20" i="56"/>
  <c r="E20" i="56" s="1"/>
  <c r="B20" i="56"/>
  <c r="D20" i="56" s="1"/>
  <c r="C19" i="56"/>
  <c r="E19" i="56" s="1"/>
  <c r="B19" i="56"/>
  <c r="D19" i="56" s="1"/>
  <c r="C18" i="56"/>
  <c r="E18" i="56" s="1"/>
  <c r="B18" i="56"/>
  <c r="D18" i="56" s="1"/>
  <c r="C17" i="56"/>
  <c r="E17" i="56" s="1"/>
  <c r="B17" i="56"/>
  <c r="D17" i="56" s="1"/>
  <c r="C16" i="56"/>
  <c r="E16" i="56" s="1"/>
  <c r="B16" i="56"/>
  <c r="D16" i="56" s="1"/>
  <c r="C15" i="56"/>
  <c r="E15" i="56" s="1"/>
  <c r="B15" i="56"/>
  <c r="D15" i="56" s="1"/>
  <c r="C14" i="56"/>
  <c r="E14" i="56" s="1"/>
  <c r="B14" i="56"/>
  <c r="D14" i="56" s="1"/>
  <c r="C13" i="56"/>
  <c r="E13" i="56" s="1"/>
  <c r="B13" i="56"/>
  <c r="D13" i="56" s="1"/>
  <c r="C12" i="56"/>
  <c r="E12" i="56" s="1"/>
  <c r="B12" i="56"/>
  <c r="D12" i="56" s="1"/>
  <c r="C11" i="56"/>
  <c r="E11" i="56" s="1"/>
  <c r="B11" i="56"/>
  <c r="D11" i="56" s="1"/>
  <c r="C10" i="56"/>
  <c r="E10" i="56" s="1"/>
  <c r="B10" i="56"/>
  <c r="D10" i="56" s="1"/>
  <c r="C9" i="56"/>
  <c r="E9" i="56" s="1"/>
  <c r="B9" i="56"/>
  <c r="D9" i="56" s="1"/>
  <c r="C8" i="56"/>
  <c r="E8" i="56" s="1"/>
  <c r="B8" i="56"/>
  <c r="D8" i="56" s="1"/>
  <c r="C7" i="56"/>
  <c r="E7" i="56" s="1"/>
  <c r="B7" i="56"/>
  <c r="D7" i="56" s="1"/>
  <c r="C6" i="56"/>
  <c r="E6" i="56" s="1"/>
  <c r="B6" i="56"/>
  <c r="D6" i="56" s="1"/>
  <c r="G5" i="56"/>
  <c r="F5" i="56"/>
  <c r="C5" i="56"/>
  <c r="M3" i="56"/>
  <c r="M2" i="56"/>
  <c r="A2" i="56"/>
  <c r="D53" i="55"/>
  <c r="G53" i="55" s="1"/>
  <c r="C53" i="55"/>
  <c r="E53" i="55" s="1"/>
  <c r="D52" i="55"/>
  <c r="C52" i="55"/>
  <c r="E52" i="55" s="1"/>
  <c r="D51" i="55"/>
  <c r="C51" i="55"/>
  <c r="E51" i="55" s="1"/>
  <c r="D50" i="55"/>
  <c r="C50" i="55"/>
  <c r="E50" i="55" s="1"/>
  <c r="D49" i="55"/>
  <c r="C49" i="55"/>
  <c r="E49" i="55" s="1"/>
  <c r="D48" i="55"/>
  <c r="C48" i="55"/>
  <c r="E48" i="55" s="1"/>
  <c r="D47" i="55"/>
  <c r="G47" i="55" s="1"/>
  <c r="C47" i="55"/>
  <c r="E47" i="55" s="1"/>
  <c r="D46" i="55"/>
  <c r="C46" i="55"/>
  <c r="E46" i="55" s="1"/>
  <c r="D45" i="55"/>
  <c r="C45" i="55"/>
  <c r="E45" i="55" s="1"/>
  <c r="D44" i="55"/>
  <c r="C44" i="55"/>
  <c r="E44" i="55" s="1"/>
  <c r="C43" i="55"/>
  <c r="E43" i="55" s="1"/>
  <c r="B43" i="55"/>
  <c r="D43" i="55" s="1"/>
  <c r="C42" i="55"/>
  <c r="E42" i="55" s="1"/>
  <c r="B42" i="55"/>
  <c r="D42" i="55" s="1"/>
  <c r="C41" i="55"/>
  <c r="E41" i="55" s="1"/>
  <c r="B41" i="55"/>
  <c r="D41" i="55" s="1"/>
  <c r="C40" i="55"/>
  <c r="E40" i="55" s="1"/>
  <c r="B40" i="55"/>
  <c r="D40" i="55" s="1"/>
  <c r="C39" i="55"/>
  <c r="E39" i="55" s="1"/>
  <c r="B39" i="55"/>
  <c r="D39" i="55" s="1"/>
  <c r="C38" i="55"/>
  <c r="E38" i="55" s="1"/>
  <c r="B38" i="55"/>
  <c r="D38" i="55" s="1"/>
  <c r="C37" i="55"/>
  <c r="E37" i="55" s="1"/>
  <c r="B37" i="55"/>
  <c r="D37" i="55" s="1"/>
  <c r="C36" i="55"/>
  <c r="E36" i="55" s="1"/>
  <c r="B36" i="55"/>
  <c r="D36" i="55" s="1"/>
  <c r="C35" i="55"/>
  <c r="E35" i="55" s="1"/>
  <c r="B35" i="55"/>
  <c r="D35" i="55" s="1"/>
  <c r="C34" i="55"/>
  <c r="E34" i="55" s="1"/>
  <c r="B34" i="55"/>
  <c r="D34" i="55" s="1"/>
  <c r="C33" i="55"/>
  <c r="E33" i="55" s="1"/>
  <c r="B33" i="55"/>
  <c r="D33" i="55" s="1"/>
  <c r="C32" i="55"/>
  <c r="E32" i="55" s="1"/>
  <c r="B32" i="55"/>
  <c r="D32" i="55" s="1"/>
  <c r="C31" i="55"/>
  <c r="B31" i="55"/>
  <c r="D31" i="55" s="1"/>
  <c r="C30" i="55"/>
  <c r="E30" i="55" s="1"/>
  <c r="B30" i="55"/>
  <c r="D30" i="55" s="1"/>
  <c r="C29" i="55"/>
  <c r="B29" i="55"/>
  <c r="D29" i="55" s="1"/>
  <c r="C28" i="55"/>
  <c r="B28" i="55"/>
  <c r="D28" i="55" s="1"/>
  <c r="C27" i="55"/>
  <c r="E27" i="55" s="1"/>
  <c r="B27" i="55"/>
  <c r="D27" i="55" s="1"/>
  <c r="C26" i="55"/>
  <c r="E26" i="55" s="1"/>
  <c r="B26" i="55"/>
  <c r="D26" i="55" s="1"/>
  <c r="C25" i="55"/>
  <c r="E25" i="55" s="1"/>
  <c r="B25" i="55"/>
  <c r="D25" i="55" s="1"/>
  <c r="C24" i="55"/>
  <c r="E24" i="55" s="1"/>
  <c r="B24" i="55"/>
  <c r="D24" i="55" s="1"/>
  <c r="C23" i="55"/>
  <c r="E23" i="55" s="1"/>
  <c r="B23" i="55"/>
  <c r="D23" i="55" s="1"/>
  <c r="C22" i="55"/>
  <c r="E22" i="55" s="1"/>
  <c r="B22" i="55"/>
  <c r="D22" i="55" s="1"/>
  <c r="C21" i="55"/>
  <c r="E21" i="55" s="1"/>
  <c r="B21" i="55"/>
  <c r="D21" i="55" s="1"/>
  <c r="C20" i="55"/>
  <c r="E20" i="55" s="1"/>
  <c r="B20" i="55"/>
  <c r="D20" i="55" s="1"/>
  <c r="C19" i="55"/>
  <c r="E19" i="55" s="1"/>
  <c r="B19" i="55"/>
  <c r="D19" i="55" s="1"/>
  <c r="C18" i="55"/>
  <c r="E18" i="55" s="1"/>
  <c r="B18" i="55"/>
  <c r="D18" i="55" s="1"/>
  <c r="C17" i="55"/>
  <c r="E17" i="55" s="1"/>
  <c r="B17" i="55"/>
  <c r="D17" i="55" s="1"/>
  <c r="C16" i="55"/>
  <c r="E16" i="55" s="1"/>
  <c r="B16" i="55"/>
  <c r="D16" i="55" s="1"/>
  <c r="C15" i="55"/>
  <c r="E15" i="55" s="1"/>
  <c r="B15" i="55"/>
  <c r="D15" i="55" s="1"/>
  <c r="C14" i="55"/>
  <c r="E14" i="55" s="1"/>
  <c r="B14" i="55"/>
  <c r="D14" i="55" s="1"/>
  <c r="C13" i="55"/>
  <c r="E13" i="55" s="1"/>
  <c r="B13" i="55"/>
  <c r="D13" i="55" s="1"/>
  <c r="C12" i="55"/>
  <c r="E12" i="55" s="1"/>
  <c r="B12" i="55"/>
  <c r="D12" i="55" s="1"/>
  <c r="C11" i="55"/>
  <c r="E11" i="55" s="1"/>
  <c r="B11" i="55"/>
  <c r="D11" i="55" s="1"/>
  <c r="C10" i="55"/>
  <c r="E10" i="55" s="1"/>
  <c r="B10" i="55"/>
  <c r="D10" i="55" s="1"/>
  <c r="C9" i="55"/>
  <c r="E9" i="55" s="1"/>
  <c r="B9" i="55"/>
  <c r="D9" i="55" s="1"/>
  <c r="C8" i="55"/>
  <c r="E8" i="55" s="1"/>
  <c r="B8" i="55"/>
  <c r="D8" i="55" s="1"/>
  <c r="C7" i="55"/>
  <c r="E7" i="55" s="1"/>
  <c r="B7" i="55"/>
  <c r="D7" i="55" s="1"/>
  <c r="C6" i="55"/>
  <c r="E6" i="55" s="1"/>
  <c r="B6" i="55"/>
  <c r="D6" i="55" s="1"/>
  <c r="G5" i="55"/>
  <c r="F5" i="55"/>
  <c r="C5" i="55"/>
  <c r="M3" i="55"/>
  <c r="M2" i="55"/>
  <c r="A2" i="55"/>
  <c r="D53" i="54"/>
  <c r="G53" i="54" s="1"/>
  <c r="C53" i="54"/>
  <c r="E53" i="54" s="1"/>
  <c r="D52" i="54"/>
  <c r="C52" i="54"/>
  <c r="E52" i="54" s="1"/>
  <c r="D51" i="54"/>
  <c r="C51" i="54"/>
  <c r="E51" i="54" s="1"/>
  <c r="D50" i="54"/>
  <c r="C50" i="54"/>
  <c r="E50" i="54" s="1"/>
  <c r="D49" i="54"/>
  <c r="C49" i="54"/>
  <c r="E49" i="54" s="1"/>
  <c r="D48" i="54"/>
  <c r="C48" i="54"/>
  <c r="E48" i="54" s="1"/>
  <c r="D47" i="54"/>
  <c r="G47" i="54" s="1"/>
  <c r="C47" i="54"/>
  <c r="E47" i="54" s="1"/>
  <c r="D46" i="54"/>
  <c r="C46" i="54"/>
  <c r="E46" i="54" s="1"/>
  <c r="D45" i="54"/>
  <c r="C45" i="54"/>
  <c r="E45" i="54" s="1"/>
  <c r="D44" i="54"/>
  <c r="C44" i="54"/>
  <c r="E44" i="54" s="1"/>
  <c r="C43" i="54"/>
  <c r="E43" i="54" s="1"/>
  <c r="B43" i="54"/>
  <c r="D43" i="54" s="1"/>
  <c r="C42" i="54"/>
  <c r="E42" i="54" s="1"/>
  <c r="B42" i="54"/>
  <c r="D42" i="54" s="1"/>
  <c r="C41" i="54"/>
  <c r="E41" i="54" s="1"/>
  <c r="B41" i="54"/>
  <c r="D41" i="54" s="1"/>
  <c r="C40" i="54"/>
  <c r="E40" i="54" s="1"/>
  <c r="B40" i="54"/>
  <c r="D40" i="54" s="1"/>
  <c r="C39" i="54"/>
  <c r="E39" i="54" s="1"/>
  <c r="B39" i="54"/>
  <c r="D39" i="54" s="1"/>
  <c r="C38" i="54"/>
  <c r="E38" i="54" s="1"/>
  <c r="B38" i="54"/>
  <c r="D38" i="54" s="1"/>
  <c r="C37" i="54"/>
  <c r="E37" i="54" s="1"/>
  <c r="B37" i="54"/>
  <c r="D37" i="54" s="1"/>
  <c r="C36" i="54"/>
  <c r="E36" i="54" s="1"/>
  <c r="B36" i="54"/>
  <c r="D36" i="54" s="1"/>
  <c r="C35" i="54"/>
  <c r="E35" i="54" s="1"/>
  <c r="B35" i="54"/>
  <c r="D35" i="54" s="1"/>
  <c r="C34" i="54"/>
  <c r="E34" i="54" s="1"/>
  <c r="B34" i="54"/>
  <c r="D34" i="54" s="1"/>
  <c r="C33" i="54"/>
  <c r="E33" i="54" s="1"/>
  <c r="B33" i="54"/>
  <c r="D33" i="54" s="1"/>
  <c r="C32" i="54"/>
  <c r="E32" i="54" s="1"/>
  <c r="B32" i="54"/>
  <c r="D32" i="54" s="1"/>
  <c r="C31" i="54"/>
  <c r="E31" i="54" s="1"/>
  <c r="B31" i="54"/>
  <c r="D31" i="54" s="1"/>
  <c r="C30" i="54"/>
  <c r="E30" i="54" s="1"/>
  <c r="B30" i="54"/>
  <c r="D30" i="54" s="1"/>
  <c r="C29" i="54"/>
  <c r="E29" i="54" s="1"/>
  <c r="B29" i="54"/>
  <c r="D29" i="54" s="1"/>
  <c r="C28" i="54"/>
  <c r="E28" i="54" s="1"/>
  <c r="B28" i="54"/>
  <c r="D28" i="54" s="1"/>
  <c r="C27" i="54"/>
  <c r="E27" i="54" s="1"/>
  <c r="B27" i="54"/>
  <c r="D27" i="54" s="1"/>
  <c r="C26" i="54"/>
  <c r="E26" i="54" s="1"/>
  <c r="B26" i="54"/>
  <c r="D26" i="54" s="1"/>
  <c r="C25" i="54"/>
  <c r="E25" i="54" s="1"/>
  <c r="B25" i="54"/>
  <c r="D25" i="54" s="1"/>
  <c r="C24" i="54"/>
  <c r="E24" i="54" s="1"/>
  <c r="B24" i="54"/>
  <c r="D24" i="54" s="1"/>
  <c r="C23" i="54"/>
  <c r="E23" i="54" s="1"/>
  <c r="B23" i="54"/>
  <c r="D23" i="54" s="1"/>
  <c r="C22" i="54"/>
  <c r="E22" i="54" s="1"/>
  <c r="B22" i="54"/>
  <c r="D22" i="54" s="1"/>
  <c r="C21" i="54"/>
  <c r="E21" i="54" s="1"/>
  <c r="B21" i="54"/>
  <c r="D21" i="54" s="1"/>
  <c r="C20" i="54"/>
  <c r="E20" i="54" s="1"/>
  <c r="B20" i="54"/>
  <c r="D20" i="54" s="1"/>
  <c r="C19" i="54"/>
  <c r="E19" i="54" s="1"/>
  <c r="B19" i="54"/>
  <c r="D19" i="54" s="1"/>
  <c r="C18" i="54"/>
  <c r="E18" i="54" s="1"/>
  <c r="B18" i="54"/>
  <c r="D18" i="54" s="1"/>
  <c r="C17" i="54"/>
  <c r="E17" i="54" s="1"/>
  <c r="B17" i="54"/>
  <c r="D17" i="54" s="1"/>
  <c r="C16" i="54"/>
  <c r="E16" i="54" s="1"/>
  <c r="B16" i="54"/>
  <c r="D16" i="54" s="1"/>
  <c r="C15" i="54"/>
  <c r="E15" i="54" s="1"/>
  <c r="B15" i="54"/>
  <c r="D15" i="54" s="1"/>
  <c r="C14" i="54"/>
  <c r="E14" i="54" s="1"/>
  <c r="B14" i="54"/>
  <c r="D14" i="54" s="1"/>
  <c r="C13" i="54"/>
  <c r="E13" i="54" s="1"/>
  <c r="B13" i="54"/>
  <c r="D13" i="54" s="1"/>
  <c r="C12" i="54"/>
  <c r="E12" i="54" s="1"/>
  <c r="B12" i="54"/>
  <c r="D12" i="54" s="1"/>
  <c r="C11" i="54"/>
  <c r="E11" i="54" s="1"/>
  <c r="B11" i="54"/>
  <c r="D11" i="54" s="1"/>
  <c r="C10" i="54"/>
  <c r="E10" i="54" s="1"/>
  <c r="B10" i="54"/>
  <c r="D10" i="54" s="1"/>
  <c r="C9" i="54"/>
  <c r="E9" i="54" s="1"/>
  <c r="B9" i="54"/>
  <c r="D9" i="54" s="1"/>
  <c r="C8" i="54"/>
  <c r="E8" i="54" s="1"/>
  <c r="B8" i="54"/>
  <c r="D8" i="54" s="1"/>
  <c r="C7" i="54"/>
  <c r="E7" i="54" s="1"/>
  <c r="B7" i="54"/>
  <c r="D7" i="54" s="1"/>
  <c r="C6" i="54"/>
  <c r="E6" i="54" s="1"/>
  <c r="B6" i="54"/>
  <c r="D6" i="54" s="1"/>
  <c r="G5" i="54"/>
  <c r="F5" i="54"/>
  <c r="C5" i="54"/>
  <c r="M3" i="54"/>
  <c r="M2" i="54"/>
  <c r="A2" i="54"/>
  <c r="D53" i="53"/>
  <c r="G53" i="53" s="1"/>
  <c r="C53" i="53"/>
  <c r="E53" i="53" s="1"/>
  <c r="D52" i="53"/>
  <c r="C52" i="53"/>
  <c r="E52" i="53" s="1"/>
  <c r="D51" i="53"/>
  <c r="C51" i="53"/>
  <c r="E51" i="53" s="1"/>
  <c r="D50" i="53"/>
  <c r="C50" i="53"/>
  <c r="E50" i="53" s="1"/>
  <c r="D49" i="53"/>
  <c r="C49" i="53"/>
  <c r="E49" i="53" s="1"/>
  <c r="D48" i="53"/>
  <c r="C48" i="53"/>
  <c r="E48" i="53" s="1"/>
  <c r="D47" i="53"/>
  <c r="G47" i="53" s="1"/>
  <c r="C47" i="53"/>
  <c r="E47" i="53" s="1"/>
  <c r="D46" i="53"/>
  <c r="C46" i="53"/>
  <c r="E46" i="53" s="1"/>
  <c r="D45" i="53"/>
  <c r="C45" i="53"/>
  <c r="E45" i="53" s="1"/>
  <c r="D44" i="53"/>
  <c r="C44" i="53"/>
  <c r="E44" i="53" s="1"/>
  <c r="C43" i="53"/>
  <c r="E43" i="53" s="1"/>
  <c r="B43" i="53"/>
  <c r="D43" i="53" s="1"/>
  <c r="C42" i="53"/>
  <c r="E42" i="53" s="1"/>
  <c r="B42" i="53"/>
  <c r="D42" i="53" s="1"/>
  <c r="C41" i="53"/>
  <c r="E41" i="53" s="1"/>
  <c r="B41" i="53"/>
  <c r="D41" i="53" s="1"/>
  <c r="C40" i="53"/>
  <c r="E40" i="53" s="1"/>
  <c r="B40" i="53"/>
  <c r="D40" i="53" s="1"/>
  <c r="C39" i="53"/>
  <c r="E39" i="53" s="1"/>
  <c r="B39" i="53"/>
  <c r="D39" i="53" s="1"/>
  <c r="C38" i="53"/>
  <c r="E38" i="53" s="1"/>
  <c r="B38" i="53"/>
  <c r="D38" i="53" s="1"/>
  <c r="C37" i="53"/>
  <c r="E37" i="53" s="1"/>
  <c r="B37" i="53"/>
  <c r="D37" i="53" s="1"/>
  <c r="C36" i="53"/>
  <c r="E36" i="53" s="1"/>
  <c r="B36" i="53"/>
  <c r="D36" i="53" s="1"/>
  <c r="C35" i="53"/>
  <c r="E35" i="53" s="1"/>
  <c r="B35" i="53"/>
  <c r="D35" i="53" s="1"/>
  <c r="C34" i="53"/>
  <c r="E34" i="53" s="1"/>
  <c r="B34" i="53"/>
  <c r="D34" i="53" s="1"/>
  <c r="C33" i="53"/>
  <c r="E33" i="53" s="1"/>
  <c r="B33" i="53"/>
  <c r="D33" i="53" s="1"/>
  <c r="C32" i="53"/>
  <c r="E32" i="53" s="1"/>
  <c r="B32" i="53"/>
  <c r="D32" i="53" s="1"/>
  <c r="C31" i="53"/>
  <c r="E31" i="53" s="1"/>
  <c r="B31" i="53"/>
  <c r="D31" i="53" s="1"/>
  <c r="C30" i="53"/>
  <c r="E30" i="53" s="1"/>
  <c r="B30" i="53"/>
  <c r="D30" i="53" s="1"/>
  <c r="C29" i="53"/>
  <c r="E29" i="53" s="1"/>
  <c r="B29" i="53"/>
  <c r="D29" i="53" s="1"/>
  <c r="C28" i="53"/>
  <c r="E28" i="53" s="1"/>
  <c r="B28" i="53"/>
  <c r="D28" i="53" s="1"/>
  <c r="C27" i="53"/>
  <c r="E27" i="53" s="1"/>
  <c r="B27" i="53"/>
  <c r="D27" i="53" s="1"/>
  <c r="C26" i="53"/>
  <c r="E26" i="53" s="1"/>
  <c r="B26" i="53"/>
  <c r="D26" i="53" s="1"/>
  <c r="C25" i="53"/>
  <c r="E25" i="53" s="1"/>
  <c r="B25" i="53"/>
  <c r="D25" i="53" s="1"/>
  <c r="C24" i="53"/>
  <c r="E24" i="53" s="1"/>
  <c r="B24" i="53"/>
  <c r="D24" i="53" s="1"/>
  <c r="C23" i="53"/>
  <c r="E23" i="53" s="1"/>
  <c r="B23" i="53"/>
  <c r="D23" i="53" s="1"/>
  <c r="C22" i="53"/>
  <c r="E22" i="53" s="1"/>
  <c r="B22" i="53"/>
  <c r="D22" i="53" s="1"/>
  <c r="C21" i="53"/>
  <c r="E21" i="53" s="1"/>
  <c r="B21" i="53"/>
  <c r="D21" i="53" s="1"/>
  <c r="C20" i="53"/>
  <c r="E20" i="53" s="1"/>
  <c r="B20" i="53"/>
  <c r="D20" i="53" s="1"/>
  <c r="C19" i="53"/>
  <c r="E19" i="53" s="1"/>
  <c r="B19" i="53"/>
  <c r="D19" i="53" s="1"/>
  <c r="C18" i="53"/>
  <c r="E18" i="53" s="1"/>
  <c r="B18" i="53"/>
  <c r="D18" i="53" s="1"/>
  <c r="C17" i="53"/>
  <c r="E17" i="53" s="1"/>
  <c r="B17" i="53"/>
  <c r="D17" i="53" s="1"/>
  <c r="C16" i="53"/>
  <c r="E16" i="53" s="1"/>
  <c r="B16" i="53"/>
  <c r="D16" i="53" s="1"/>
  <c r="C15" i="53"/>
  <c r="E15" i="53" s="1"/>
  <c r="B15" i="53"/>
  <c r="D15" i="53" s="1"/>
  <c r="C14" i="53"/>
  <c r="E14" i="53" s="1"/>
  <c r="B14" i="53"/>
  <c r="D14" i="53" s="1"/>
  <c r="C13" i="53"/>
  <c r="E13" i="53" s="1"/>
  <c r="B13" i="53"/>
  <c r="D13" i="53" s="1"/>
  <c r="C12" i="53"/>
  <c r="E12" i="53" s="1"/>
  <c r="B12" i="53"/>
  <c r="D12" i="53" s="1"/>
  <c r="C11" i="53"/>
  <c r="E11" i="53" s="1"/>
  <c r="B11" i="53"/>
  <c r="D11" i="53" s="1"/>
  <c r="C10" i="53"/>
  <c r="E10" i="53" s="1"/>
  <c r="B10" i="53"/>
  <c r="D10" i="53" s="1"/>
  <c r="C9" i="53"/>
  <c r="E9" i="53" s="1"/>
  <c r="B9" i="53"/>
  <c r="D9" i="53" s="1"/>
  <c r="C8" i="53"/>
  <c r="E8" i="53" s="1"/>
  <c r="B8" i="53"/>
  <c r="D8" i="53" s="1"/>
  <c r="C7" i="53"/>
  <c r="E7" i="53" s="1"/>
  <c r="B7" i="53"/>
  <c r="D7" i="53" s="1"/>
  <c r="C6" i="53"/>
  <c r="E6" i="53" s="1"/>
  <c r="B6" i="53"/>
  <c r="D6" i="53" s="1"/>
  <c r="G5" i="53"/>
  <c r="F5" i="53"/>
  <c r="C5" i="53"/>
  <c r="M3" i="53"/>
  <c r="M2" i="53"/>
  <c r="A2" i="53"/>
  <c r="D53" i="52"/>
  <c r="G53" i="52" s="1"/>
  <c r="C53" i="52"/>
  <c r="E53" i="52" s="1"/>
  <c r="D52" i="52"/>
  <c r="C52" i="52"/>
  <c r="E52" i="52" s="1"/>
  <c r="D51" i="52"/>
  <c r="C51" i="52"/>
  <c r="E51" i="52" s="1"/>
  <c r="D50" i="52"/>
  <c r="C50" i="52"/>
  <c r="E50" i="52" s="1"/>
  <c r="D49" i="52"/>
  <c r="C49" i="52"/>
  <c r="E49" i="52" s="1"/>
  <c r="D48" i="52"/>
  <c r="C48" i="52"/>
  <c r="E48" i="52" s="1"/>
  <c r="D47" i="52"/>
  <c r="G47" i="52" s="1"/>
  <c r="C47" i="52"/>
  <c r="E47" i="52" s="1"/>
  <c r="D46" i="52"/>
  <c r="C46" i="52"/>
  <c r="E46" i="52" s="1"/>
  <c r="D45" i="52"/>
  <c r="C45" i="52"/>
  <c r="E45" i="52" s="1"/>
  <c r="D44" i="52"/>
  <c r="C44" i="52"/>
  <c r="E44" i="52" s="1"/>
  <c r="C43" i="52"/>
  <c r="E43" i="52" s="1"/>
  <c r="B43" i="52"/>
  <c r="D43" i="52" s="1"/>
  <c r="C42" i="52"/>
  <c r="E42" i="52" s="1"/>
  <c r="B42" i="52"/>
  <c r="D42" i="52" s="1"/>
  <c r="C41" i="52"/>
  <c r="E41" i="52" s="1"/>
  <c r="B41" i="52"/>
  <c r="D41" i="52" s="1"/>
  <c r="C40" i="52"/>
  <c r="E40" i="52" s="1"/>
  <c r="B40" i="52"/>
  <c r="D40" i="52" s="1"/>
  <c r="C39" i="52"/>
  <c r="E39" i="52" s="1"/>
  <c r="B39" i="52"/>
  <c r="D39" i="52" s="1"/>
  <c r="C38" i="52"/>
  <c r="E38" i="52" s="1"/>
  <c r="B38" i="52"/>
  <c r="D38" i="52" s="1"/>
  <c r="C37" i="52"/>
  <c r="E37" i="52" s="1"/>
  <c r="B37" i="52"/>
  <c r="D37" i="52" s="1"/>
  <c r="C36" i="52"/>
  <c r="E36" i="52" s="1"/>
  <c r="B36" i="52"/>
  <c r="D36" i="52" s="1"/>
  <c r="C35" i="52"/>
  <c r="E35" i="52" s="1"/>
  <c r="B35" i="52"/>
  <c r="D35" i="52" s="1"/>
  <c r="C34" i="52"/>
  <c r="E34" i="52" s="1"/>
  <c r="B34" i="52"/>
  <c r="D34" i="52" s="1"/>
  <c r="C33" i="52"/>
  <c r="E33" i="52" s="1"/>
  <c r="B33" i="52"/>
  <c r="D33" i="52" s="1"/>
  <c r="C32" i="52"/>
  <c r="E32" i="52" s="1"/>
  <c r="B32" i="52"/>
  <c r="D32" i="52" s="1"/>
  <c r="C31" i="52"/>
  <c r="E31" i="52" s="1"/>
  <c r="B31" i="52"/>
  <c r="D31" i="52" s="1"/>
  <c r="C30" i="52"/>
  <c r="E30" i="52" s="1"/>
  <c r="B30" i="52"/>
  <c r="D30" i="52" s="1"/>
  <c r="C29" i="52"/>
  <c r="E29" i="52" s="1"/>
  <c r="B29" i="52"/>
  <c r="D29" i="52" s="1"/>
  <c r="C28" i="52"/>
  <c r="E28" i="52" s="1"/>
  <c r="B28" i="52"/>
  <c r="D28" i="52" s="1"/>
  <c r="C27" i="52"/>
  <c r="E27" i="52" s="1"/>
  <c r="B27" i="52"/>
  <c r="D27" i="52" s="1"/>
  <c r="C26" i="52"/>
  <c r="E26" i="52" s="1"/>
  <c r="B26" i="52"/>
  <c r="D26" i="52" s="1"/>
  <c r="C25" i="52"/>
  <c r="E25" i="52" s="1"/>
  <c r="B25" i="52"/>
  <c r="D25" i="52" s="1"/>
  <c r="C24" i="52"/>
  <c r="E24" i="52" s="1"/>
  <c r="B24" i="52"/>
  <c r="D24" i="52" s="1"/>
  <c r="C23" i="52"/>
  <c r="E23" i="52" s="1"/>
  <c r="B23" i="52"/>
  <c r="D23" i="52" s="1"/>
  <c r="C22" i="52"/>
  <c r="E22" i="52" s="1"/>
  <c r="B22" i="52"/>
  <c r="D22" i="52" s="1"/>
  <c r="C21" i="52"/>
  <c r="E21" i="52" s="1"/>
  <c r="B21" i="52"/>
  <c r="D21" i="52" s="1"/>
  <c r="C20" i="52"/>
  <c r="E20" i="52" s="1"/>
  <c r="B20" i="52"/>
  <c r="D20" i="52" s="1"/>
  <c r="C19" i="52"/>
  <c r="E19" i="52" s="1"/>
  <c r="B19" i="52"/>
  <c r="D19" i="52" s="1"/>
  <c r="C18" i="52"/>
  <c r="E18" i="52" s="1"/>
  <c r="B18" i="52"/>
  <c r="D18" i="52" s="1"/>
  <c r="C17" i="52"/>
  <c r="E17" i="52" s="1"/>
  <c r="B17" i="52"/>
  <c r="D17" i="52" s="1"/>
  <c r="C16" i="52"/>
  <c r="E16" i="52" s="1"/>
  <c r="B16" i="52"/>
  <c r="D16" i="52" s="1"/>
  <c r="C15" i="52"/>
  <c r="E15" i="52" s="1"/>
  <c r="B15" i="52"/>
  <c r="D15" i="52" s="1"/>
  <c r="C14" i="52"/>
  <c r="E14" i="52" s="1"/>
  <c r="B14" i="52"/>
  <c r="D14" i="52" s="1"/>
  <c r="C13" i="52"/>
  <c r="E13" i="52" s="1"/>
  <c r="B13" i="52"/>
  <c r="D13" i="52" s="1"/>
  <c r="C12" i="52"/>
  <c r="E12" i="52" s="1"/>
  <c r="B12" i="52"/>
  <c r="D12" i="52" s="1"/>
  <c r="C11" i="52"/>
  <c r="E11" i="52" s="1"/>
  <c r="B11" i="52"/>
  <c r="D11" i="52" s="1"/>
  <c r="C10" i="52"/>
  <c r="E10" i="52" s="1"/>
  <c r="B10" i="52"/>
  <c r="D10" i="52" s="1"/>
  <c r="C9" i="52"/>
  <c r="E9" i="52" s="1"/>
  <c r="B9" i="52"/>
  <c r="D9" i="52" s="1"/>
  <c r="C8" i="52"/>
  <c r="E8" i="52" s="1"/>
  <c r="B8" i="52"/>
  <c r="D8" i="52" s="1"/>
  <c r="C7" i="52"/>
  <c r="E7" i="52" s="1"/>
  <c r="B7" i="52"/>
  <c r="D7" i="52" s="1"/>
  <c r="C6" i="52"/>
  <c r="E6" i="52" s="1"/>
  <c r="B6" i="52"/>
  <c r="D6" i="52" s="1"/>
  <c r="G5" i="52"/>
  <c r="F5" i="52"/>
  <c r="C5" i="52"/>
  <c r="M3" i="52"/>
  <c r="M2" i="52"/>
  <c r="A2" i="52"/>
  <c r="D53" i="51"/>
  <c r="G53" i="51" s="1"/>
  <c r="C53" i="51"/>
  <c r="E53" i="51" s="1"/>
  <c r="D52" i="51"/>
  <c r="C52" i="51"/>
  <c r="E52" i="51" s="1"/>
  <c r="D51" i="51"/>
  <c r="C51" i="51"/>
  <c r="E51" i="51" s="1"/>
  <c r="D50" i="51"/>
  <c r="C50" i="51"/>
  <c r="E50" i="51" s="1"/>
  <c r="D49" i="51"/>
  <c r="C49" i="51"/>
  <c r="E49" i="51" s="1"/>
  <c r="D48" i="51"/>
  <c r="C48" i="51"/>
  <c r="E48" i="51" s="1"/>
  <c r="D47" i="51"/>
  <c r="G47" i="51" s="1"/>
  <c r="C47" i="51"/>
  <c r="E47" i="51" s="1"/>
  <c r="D46" i="51"/>
  <c r="C46" i="51"/>
  <c r="E46" i="51" s="1"/>
  <c r="D45" i="51"/>
  <c r="C45" i="51"/>
  <c r="E45" i="51" s="1"/>
  <c r="D44" i="51"/>
  <c r="C44" i="51"/>
  <c r="E44" i="51" s="1"/>
  <c r="C43" i="51"/>
  <c r="E43" i="51" s="1"/>
  <c r="B43" i="51"/>
  <c r="D43" i="51" s="1"/>
  <c r="C42" i="51"/>
  <c r="E42" i="51" s="1"/>
  <c r="B42" i="51"/>
  <c r="D42" i="51" s="1"/>
  <c r="C41" i="51"/>
  <c r="E41" i="51" s="1"/>
  <c r="B41" i="51"/>
  <c r="D41" i="51" s="1"/>
  <c r="C40" i="51"/>
  <c r="E40" i="51" s="1"/>
  <c r="B40" i="51"/>
  <c r="D40" i="51" s="1"/>
  <c r="C39" i="51"/>
  <c r="E39" i="51" s="1"/>
  <c r="B39" i="51"/>
  <c r="D39" i="51" s="1"/>
  <c r="C38" i="51"/>
  <c r="E38" i="51" s="1"/>
  <c r="B38" i="51"/>
  <c r="D38" i="51" s="1"/>
  <c r="C37" i="51"/>
  <c r="E37" i="51" s="1"/>
  <c r="B37" i="51"/>
  <c r="D37" i="51" s="1"/>
  <c r="C36" i="51"/>
  <c r="E36" i="51" s="1"/>
  <c r="B36" i="51"/>
  <c r="D36" i="51" s="1"/>
  <c r="C35" i="51"/>
  <c r="E35" i="51" s="1"/>
  <c r="B35" i="51"/>
  <c r="D35" i="51" s="1"/>
  <c r="C34" i="51"/>
  <c r="E34" i="51" s="1"/>
  <c r="B34" i="51"/>
  <c r="D34" i="51" s="1"/>
  <c r="C33" i="51"/>
  <c r="E33" i="51" s="1"/>
  <c r="B33" i="51"/>
  <c r="D33" i="51" s="1"/>
  <c r="C32" i="51"/>
  <c r="E32" i="51" s="1"/>
  <c r="B32" i="51"/>
  <c r="D32" i="51" s="1"/>
  <c r="C31" i="51"/>
  <c r="E31" i="51" s="1"/>
  <c r="B31" i="51"/>
  <c r="D31" i="51" s="1"/>
  <c r="C30" i="51"/>
  <c r="E30" i="51" s="1"/>
  <c r="B30" i="51"/>
  <c r="D30" i="51" s="1"/>
  <c r="C29" i="51"/>
  <c r="E29" i="51" s="1"/>
  <c r="B29" i="51"/>
  <c r="D29" i="51" s="1"/>
  <c r="C28" i="51"/>
  <c r="E28" i="51" s="1"/>
  <c r="B28" i="51"/>
  <c r="D28" i="51" s="1"/>
  <c r="C27" i="51"/>
  <c r="E27" i="51" s="1"/>
  <c r="B27" i="51"/>
  <c r="D27" i="51" s="1"/>
  <c r="C26" i="51"/>
  <c r="E26" i="51" s="1"/>
  <c r="B26" i="51"/>
  <c r="D26" i="51" s="1"/>
  <c r="C25" i="51"/>
  <c r="E25" i="51" s="1"/>
  <c r="B25" i="51"/>
  <c r="D25" i="51" s="1"/>
  <c r="C24" i="51"/>
  <c r="E24" i="51" s="1"/>
  <c r="B24" i="51"/>
  <c r="D24" i="51" s="1"/>
  <c r="C23" i="51"/>
  <c r="E23" i="51" s="1"/>
  <c r="B23" i="51"/>
  <c r="D23" i="51" s="1"/>
  <c r="C22" i="51"/>
  <c r="E22" i="51" s="1"/>
  <c r="B22" i="51"/>
  <c r="D22" i="51" s="1"/>
  <c r="C21" i="51"/>
  <c r="E21" i="51" s="1"/>
  <c r="B21" i="51"/>
  <c r="D21" i="51" s="1"/>
  <c r="C20" i="51"/>
  <c r="E20" i="51" s="1"/>
  <c r="B20" i="51"/>
  <c r="D20" i="51" s="1"/>
  <c r="C19" i="51"/>
  <c r="E19" i="51" s="1"/>
  <c r="B19" i="51"/>
  <c r="D19" i="51" s="1"/>
  <c r="C18" i="51"/>
  <c r="E18" i="51" s="1"/>
  <c r="B18" i="51"/>
  <c r="D18" i="51" s="1"/>
  <c r="C17" i="51"/>
  <c r="E17" i="51" s="1"/>
  <c r="B17" i="51"/>
  <c r="D17" i="51" s="1"/>
  <c r="C16" i="51"/>
  <c r="E16" i="51" s="1"/>
  <c r="B16" i="51"/>
  <c r="D16" i="51" s="1"/>
  <c r="C15" i="51"/>
  <c r="E15" i="51" s="1"/>
  <c r="B15" i="51"/>
  <c r="D15" i="51" s="1"/>
  <c r="C14" i="51"/>
  <c r="E14" i="51" s="1"/>
  <c r="B14" i="51"/>
  <c r="D14" i="51" s="1"/>
  <c r="C13" i="51"/>
  <c r="E13" i="51" s="1"/>
  <c r="B13" i="51"/>
  <c r="D13" i="51" s="1"/>
  <c r="C12" i="51"/>
  <c r="E12" i="51" s="1"/>
  <c r="B12" i="51"/>
  <c r="D12" i="51" s="1"/>
  <c r="C11" i="51"/>
  <c r="E11" i="51" s="1"/>
  <c r="B11" i="51"/>
  <c r="D11" i="51" s="1"/>
  <c r="C10" i="51"/>
  <c r="E10" i="51" s="1"/>
  <c r="B10" i="51"/>
  <c r="D10" i="51" s="1"/>
  <c r="C9" i="51"/>
  <c r="E9" i="51" s="1"/>
  <c r="B9" i="51"/>
  <c r="D9" i="51" s="1"/>
  <c r="C8" i="51"/>
  <c r="E8" i="51" s="1"/>
  <c r="B8" i="51"/>
  <c r="D8" i="51" s="1"/>
  <c r="C7" i="51"/>
  <c r="E7" i="51" s="1"/>
  <c r="B7" i="51"/>
  <c r="D7" i="51" s="1"/>
  <c r="C6" i="51"/>
  <c r="E6" i="51" s="1"/>
  <c r="B6" i="51"/>
  <c r="D6" i="51" s="1"/>
  <c r="G5" i="51"/>
  <c r="F5" i="51"/>
  <c r="C5" i="51"/>
  <c r="M3" i="51"/>
  <c r="M2" i="51"/>
  <c r="R2" i="28"/>
  <c r="N43" i="28"/>
  <c r="G42" i="28"/>
  <c r="N42" i="28" s="1"/>
  <c r="G41" i="28"/>
  <c r="G40" i="28"/>
  <c r="G39" i="28"/>
  <c r="G38" i="28"/>
  <c r="G37" i="28"/>
  <c r="G36" i="28"/>
  <c r="N36" i="28" s="1"/>
  <c r="B10" i="4"/>
  <c r="D10" i="4" s="1"/>
  <c r="B6" i="4"/>
  <c r="D6" i="4" s="1"/>
  <c r="B7" i="4"/>
  <c r="D7" i="4" s="1"/>
  <c r="B8" i="4"/>
  <c r="D8" i="4" s="1"/>
  <c r="B9" i="4"/>
  <c r="D9" i="4" s="1"/>
  <c r="E14" i="28"/>
  <c r="D33" i="28"/>
  <c r="C33" i="28"/>
  <c r="C37" i="28" a="1"/>
  <c r="C37" i="28" s="1"/>
  <c r="C38" i="28" a="1"/>
  <c r="C38" i="28" s="1"/>
  <c r="C39" i="28" a="1"/>
  <c r="C39" i="28" s="1"/>
  <c r="C40" i="28" a="1"/>
  <c r="C40" i="28" s="1"/>
  <c r="C41" i="28" a="1"/>
  <c r="C41" i="28" s="1"/>
  <c r="C42" i="28" a="1"/>
  <c r="C42" i="28" s="1"/>
  <c r="C36" i="28" a="1"/>
  <c r="C36" i="28" s="1"/>
  <c r="D16" i="28"/>
  <c r="A5" i="28" s="1"/>
  <c r="C16" i="28"/>
  <c r="M42" i="28" l="1"/>
  <c r="M41" i="28"/>
  <c r="M40" i="28"/>
  <c r="F48" i="61"/>
  <c r="F46" i="51"/>
  <c r="F52" i="51"/>
  <c r="F49" i="52"/>
  <c r="F46" i="53"/>
  <c r="F52" i="53"/>
  <c r="F45" i="55"/>
  <c r="F51" i="55"/>
  <c r="F47" i="51"/>
  <c r="F53" i="51"/>
  <c r="F44" i="52"/>
  <c r="F50" i="52"/>
  <c r="F48" i="60"/>
  <c r="I37" i="28"/>
  <c r="I42" i="28"/>
  <c r="I40" i="28"/>
  <c r="I39" i="28"/>
  <c r="N41" i="28"/>
  <c r="N40" i="28"/>
  <c r="M39" i="28"/>
  <c r="F49" i="51"/>
  <c r="F46" i="52"/>
  <c r="F52" i="52"/>
  <c r="F49" i="53"/>
  <c r="F48" i="55"/>
  <c r="F45" i="56"/>
  <c r="F51" i="56"/>
  <c r="F48" i="57"/>
  <c r="F45" i="58"/>
  <c r="F51" i="58"/>
  <c r="F49" i="60"/>
  <c r="F45" i="60"/>
  <c r="F51" i="60"/>
  <c r="F48" i="51"/>
  <c r="F45" i="52"/>
  <c r="F51" i="52"/>
  <c r="F48" i="53"/>
  <c r="F47" i="55"/>
  <c r="F53" i="55"/>
  <c r="F44" i="56"/>
  <c r="F50" i="56"/>
  <c r="F47" i="57"/>
  <c r="F53" i="57"/>
  <c r="F44" i="58"/>
  <c r="F50" i="58"/>
  <c r="F44" i="60"/>
  <c r="F48" i="56"/>
  <c r="F45" i="57"/>
  <c r="F51" i="57"/>
  <c r="F48" i="58"/>
  <c r="F44" i="54"/>
  <c r="F50" i="54"/>
  <c r="F45" i="59"/>
  <c r="F51" i="59"/>
  <c r="F47" i="53"/>
  <c r="F53" i="53"/>
  <c r="F46" i="55"/>
  <c r="F52" i="55"/>
  <c r="F49" i="56"/>
  <c r="F46" i="57"/>
  <c r="F52" i="57"/>
  <c r="F49" i="58"/>
  <c r="F45" i="61"/>
  <c r="F46" i="61"/>
  <c r="F52" i="61"/>
  <c r="F50" i="60"/>
  <c r="F47" i="60"/>
  <c r="I41" i="28"/>
  <c r="I38" i="28"/>
  <c r="N39" i="28"/>
  <c r="M37" i="28"/>
  <c r="N38" i="28"/>
  <c r="N37" i="28"/>
  <c r="M38" i="28"/>
  <c r="F45" i="54"/>
  <c r="F51" i="54"/>
  <c r="F46" i="59"/>
  <c r="F52" i="59"/>
  <c r="F46" i="54"/>
  <c r="F52" i="54"/>
  <c r="F47" i="59"/>
  <c r="F53" i="59"/>
  <c r="F44" i="51"/>
  <c r="F50" i="51"/>
  <c r="F47" i="52"/>
  <c r="F53" i="52"/>
  <c r="F44" i="53"/>
  <c r="F50" i="53"/>
  <c r="F49" i="55"/>
  <c r="F46" i="56"/>
  <c r="F52" i="56"/>
  <c r="F49" i="57"/>
  <c r="F46" i="58"/>
  <c r="F52" i="58"/>
  <c r="F47" i="61"/>
  <c r="F53" i="61"/>
  <c r="F45" i="51"/>
  <c r="F51" i="51"/>
  <c r="F48" i="52"/>
  <c r="F45" i="53"/>
  <c r="F51" i="53"/>
  <c r="F44" i="55"/>
  <c r="F50" i="55"/>
  <c r="F47" i="56"/>
  <c r="F53" i="56"/>
  <c r="F44" i="57"/>
  <c r="F50" i="57"/>
  <c r="F47" i="58"/>
  <c r="F53" i="58"/>
  <c r="F49" i="54"/>
  <c r="F44" i="59"/>
  <c r="F50" i="59"/>
  <c r="F53" i="60"/>
  <c r="F44" i="61"/>
  <c r="F50" i="61"/>
  <c r="F51" i="61"/>
  <c r="F47" i="54"/>
  <c r="F53" i="54"/>
  <c r="F48" i="59"/>
  <c r="F48" i="54"/>
  <c r="F49" i="59"/>
  <c r="F46" i="60"/>
  <c r="F52" i="60"/>
  <c r="F49" i="61"/>
  <c r="F8" i="58"/>
  <c r="F14" i="55"/>
  <c r="E54" i="61"/>
  <c r="D54" i="61"/>
  <c r="G8" i="61"/>
  <c r="G12" i="61"/>
  <c r="E54" i="60"/>
  <c r="D54" i="60"/>
  <c r="G12" i="60"/>
  <c r="E54" i="59"/>
  <c r="D54" i="59"/>
  <c r="G6" i="59"/>
  <c r="G10" i="59"/>
  <c r="G14" i="59"/>
  <c r="E54" i="58"/>
  <c r="D54" i="58"/>
  <c r="F12" i="58"/>
  <c r="E54" i="57"/>
  <c r="D54" i="57"/>
  <c r="G8" i="57"/>
  <c r="G12" i="57"/>
  <c r="G6" i="57"/>
  <c r="G10" i="57"/>
  <c r="G14" i="57"/>
  <c r="E54" i="56"/>
  <c r="D54" i="56"/>
  <c r="G6" i="56"/>
  <c r="G10" i="56"/>
  <c r="G14" i="56"/>
  <c r="E54" i="55"/>
  <c r="D54" i="55"/>
  <c r="F12" i="55"/>
  <c r="F8" i="55"/>
  <c r="F10" i="55"/>
  <c r="F6" i="55"/>
  <c r="E54" i="54"/>
  <c r="D54" i="54"/>
  <c r="F8" i="54"/>
  <c r="F12" i="54"/>
  <c r="F6" i="54"/>
  <c r="F10" i="54"/>
  <c r="F14" i="54"/>
  <c r="E54" i="53"/>
  <c r="D54" i="53"/>
  <c r="G14" i="53"/>
  <c r="G6" i="53"/>
  <c r="G10" i="53"/>
  <c r="G12" i="53"/>
  <c r="G8" i="53"/>
  <c r="E54" i="52"/>
  <c r="D54" i="52"/>
  <c r="F8" i="52"/>
  <c r="F12" i="52"/>
  <c r="E54" i="51"/>
  <c r="D54" i="51"/>
  <c r="G14" i="51"/>
  <c r="G10" i="51"/>
  <c r="G6" i="51"/>
  <c r="G14" i="61"/>
  <c r="G10" i="61"/>
  <c r="G6" i="61"/>
  <c r="G24" i="61"/>
  <c r="F24" i="61"/>
  <c r="F9" i="61"/>
  <c r="G9" i="61"/>
  <c r="G18" i="61"/>
  <c r="F18" i="61"/>
  <c r="G28" i="61"/>
  <c r="F28" i="61"/>
  <c r="G17" i="61"/>
  <c r="G21" i="61"/>
  <c r="G25" i="61"/>
  <c r="G29" i="61"/>
  <c r="G33" i="61"/>
  <c r="G37" i="61"/>
  <c r="G41" i="61"/>
  <c r="G20" i="61"/>
  <c r="F20" i="61"/>
  <c r="F13" i="61"/>
  <c r="G13" i="61"/>
  <c r="G30" i="61"/>
  <c r="F30" i="61"/>
  <c r="G42" i="61"/>
  <c r="F42" i="61"/>
  <c r="G22" i="61"/>
  <c r="F22" i="61"/>
  <c r="G38" i="61"/>
  <c r="F38" i="61"/>
  <c r="F11" i="61"/>
  <c r="G11" i="61"/>
  <c r="G34" i="61"/>
  <c r="F34" i="61"/>
  <c r="G26" i="61"/>
  <c r="F26" i="61"/>
  <c r="G15" i="61"/>
  <c r="G19" i="61"/>
  <c r="G23" i="61"/>
  <c r="G27" i="61"/>
  <c r="G31" i="61"/>
  <c r="G35" i="61"/>
  <c r="G39" i="61"/>
  <c r="G43" i="61"/>
  <c r="F7" i="61"/>
  <c r="G7" i="61"/>
  <c r="G16" i="61"/>
  <c r="F16" i="61"/>
  <c r="G32" i="61"/>
  <c r="F32" i="61"/>
  <c r="G36" i="61"/>
  <c r="F36" i="61"/>
  <c r="G40" i="61"/>
  <c r="F40" i="61"/>
  <c r="F6" i="61"/>
  <c r="F8" i="61"/>
  <c r="F10" i="61"/>
  <c r="F12" i="61"/>
  <c r="F14" i="61"/>
  <c r="F15" i="61"/>
  <c r="F17" i="61"/>
  <c r="F19" i="61"/>
  <c r="F21" i="61"/>
  <c r="F23" i="61"/>
  <c r="F25" i="61"/>
  <c r="F27" i="61"/>
  <c r="F29" i="61"/>
  <c r="F31" i="61"/>
  <c r="F33" i="61"/>
  <c r="F35" i="61"/>
  <c r="F37" i="61"/>
  <c r="F39" i="61"/>
  <c r="F41" i="61"/>
  <c r="F43" i="61"/>
  <c r="G14" i="60"/>
  <c r="G6" i="60"/>
  <c r="F43" i="60"/>
  <c r="G8" i="60"/>
  <c r="G10" i="60"/>
  <c r="G28" i="60"/>
  <c r="F28" i="60"/>
  <c r="G20" i="60"/>
  <c r="F20" i="60"/>
  <c r="F13" i="60"/>
  <c r="G13" i="60"/>
  <c r="F41" i="60"/>
  <c r="G24" i="60"/>
  <c r="F24" i="60"/>
  <c r="F17" i="60"/>
  <c r="F21" i="60"/>
  <c r="F25" i="60"/>
  <c r="F29" i="60"/>
  <c r="F33" i="60"/>
  <c r="F37" i="60"/>
  <c r="G34" i="60"/>
  <c r="F34" i="60"/>
  <c r="G38" i="60"/>
  <c r="F38" i="60"/>
  <c r="G42" i="60"/>
  <c r="F42" i="60"/>
  <c r="G26" i="60"/>
  <c r="F26" i="60"/>
  <c r="G18" i="60"/>
  <c r="F18" i="60"/>
  <c r="F11" i="60"/>
  <c r="G11" i="60"/>
  <c r="F7" i="60"/>
  <c r="G7" i="60"/>
  <c r="F15" i="60"/>
  <c r="F19" i="60"/>
  <c r="F23" i="60"/>
  <c r="F27" i="60"/>
  <c r="F31" i="60"/>
  <c r="F35" i="60"/>
  <c r="F39" i="60"/>
  <c r="G43" i="60"/>
  <c r="G30" i="60"/>
  <c r="F30" i="60"/>
  <c r="G16" i="60"/>
  <c r="F16" i="60"/>
  <c r="G36" i="60"/>
  <c r="F36" i="60"/>
  <c r="G40" i="60"/>
  <c r="F40" i="60"/>
  <c r="G32" i="60"/>
  <c r="F32" i="60"/>
  <c r="G22" i="60"/>
  <c r="F22" i="60"/>
  <c r="F9" i="60"/>
  <c r="G9" i="60"/>
  <c r="F6" i="60"/>
  <c r="F8" i="60"/>
  <c r="F10" i="60"/>
  <c r="F12" i="60"/>
  <c r="F14" i="60"/>
  <c r="G15" i="60"/>
  <c r="G17" i="60"/>
  <c r="G19" i="60"/>
  <c r="G21" i="60"/>
  <c r="G23" i="60"/>
  <c r="G25" i="60"/>
  <c r="G27" i="60"/>
  <c r="G29" i="60"/>
  <c r="G31" i="60"/>
  <c r="G33" i="60"/>
  <c r="G35" i="60"/>
  <c r="G37" i="60"/>
  <c r="G39" i="60"/>
  <c r="G41" i="60"/>
  <c r="G8" i="59"/>
  <c r="G12" i="59"/>
  <c r="G16" i="59"/>
  <c r="F16" i="59"/>
  <c r="G32" i="59"/>
  <c r="F32" i="59"/>
  <c r="G36" i="59"/>
  <c r="F36" i="59"/>
  <c r="G40" i="59"/>
  <c r="F40" i="59"/>
  <c r="G18" i="59"/>
  <c r="F18" i="59"/>
  <c r="G28" i="59"/>
  <c r="F28" i="59"/>
  <c r="G9" i="59"/>
  <c r="F9" i="59"/>
  <c r="G20" i="59"/>
  <c r="F20" i="59"/>
  <c r="G13" i="59"/>
  <c r="F13" i="59"/>
  <c r="G17" i="59"/>
  <c r="G21" i="59"/>
  <c r="G25" i="59"/>
  <c r="G29" i="59"/>
  <c r="G33" i="59"/>
  <c r="G37" i="59"/>
  <c r="G41" i="59"/>
  <c r="G24" i="59"/>
  <c r="F24" i="59"/>
  <c r="G26" i="59"/>
  <c r="F26" i="59"/>
  <c r="G34" i="59"/>
  <c r="F34" i="59"/>
  <c r="G38" i="59"/>
  <c r="F38" i="59"/>
  <c r="G42" i="59"/>
  <c r="F42" i="59"/>
  <c r="G22" i="59"/>
  <c r="F22" i="59"/>
  <c r="G11" i="59"/>
  <c r="F11" i="59"/>
  <c r="G30" i="59"/>
  <c r="F30" i="59"/>
  <c r="G7" i="59"/>
  <c r="F7" i="59"/>
  <c r="G15" i="59"/>
  <c r="G19" i="59"/>
  <c r="G23" i="59"/>
  <c r="G27" i="59"/>
  <c r="G31" i="59"/>
  <c r="G35" i="59"/>
  <c r="G39" i="59"/>
  <c r="G43" i="59"/>
  <c r="F6" i="59"/>
  <c r="F8" i="59"/>
  <c r="F10" i="59"/>
  <c r="F12" i="59"/>
  <c r="F14" i="59"/>
  <c r="F15" i="59"/>
  <c r="F17" i="59"/>
  <c r="F19" i="59"/>
  <c r="F21" i="59"/>
  <c r="F23" i="59"/>
  <c r="F25" i="59"/>
  <c r="F27" i="59"/>
  <c r="F29" i="59"/>
  <c r="F31" i="59"/>
  <c r="F33" i="59"/>
  <c r="F35" i="59"/>
  <c r="F37" i="59"/>
  <c r="F39" i="59"/>
  <c r="F41" i="59"/>
  <c r="F43" i="59"/>
  <c r="F10" i="58"/>
  <c r="F6" i="58"/>
  <c r="F14" i="58"/>
  <c r="G20" i="58"/>
  <c r="F20" i="58"/>
  <c r="G32" i="58"/>
  <c r="F32" i="58"/>
  <c r="G13" i="58"/>
  <c r="F13" i="58"/>
  <c r="G16" i="58"/>
  <c r="F16" i="58"/>
  <c r="G30" i="58"/>
  <c r="F30" i="58"/>
  <c r="G9" i="58"/>
  <c r="F9" i="58"/>
  <c r="G17" i="58"/>
  <c r="G21" i="58"/>
  <c r="G25" i="58"/>
  <c r="G29" i="58"/>
  <c r="G33" i="58"/>
  <c r="G37" i="58"/>
  <c r="G41" i="58"/>
  <c r="G28" i="58"/>
  <c r="F28" i="58"/>
  <c r="G34" i="58"/>
  <c r="F34" i="58"/>
  <c r="G42" i="58"/>
  <c r="F42" i="58"/>
  <c r="G22" i="58"/>
  <c r="F22" i="58"/>
  <c r="G38" i="58"/>
  <c r="F38" i="58"/>
  <c r="G26" i="58"/>
  <c r="F26" i="58"/>
  <c r="G11" i="58"/>
  <c r="F11" i="58"/>
  <c r="G7" i="58"/>
  <c r="F7" i="58"/>
  <c r="G15" i="58"/>
  <c r="G19" i="58"/>
  <c r="G23" i="58"/>
  <c r="G27" i="58"/>
  <c r="G31" i="58"/>
  <c r="G35" i="58"/>
  <c r="G39" i="58"/>
  <c r="G43" i="58"/>
  <c r="G18" i="58"/>
  <c r="F18" i="58"/>
  <c r="G24" i="58"/>
  <c r="F24" i="58"/>
  <c r="G36" i="58"/>
  <c r="F36" i="58"/>
  <c r="G40" i="58"/>
  <c r="F40" i="58"/>
  <c r="G6" i="58"/>
  <c r="G8" i="58"/>
  <c r="G10" i="58"/>
  <c r="G12" i="58"/>
  <c r="G14" i="58"/>
  <c r="F15" i="58"/>
  <c r="F17" i="58"/>
  <c r="F19" i="58"/>
  <c r="F21" i="58"/>
  <c r="F23" i="58"/>
  <c r="F25" i="58"/>
  <c r="F27" i="58"/>
  <c r="F29" i="58"/>
  <c r="F31" i="58"/>
  <c r="F33" i="58"/>
  <c r="F35" i="58"/>
  <c r="F37" i="58"/>
  <c r="F39" i="58"/>
  <c r="F41" i="58"/>
  <c r="F43" i="58"/>
  <c r="G16" i="57"/>
  <c r="F16" i="57"/>
  <c r="G9" i="57"/>
  <c r="F9" i="57"/>
  <c r="G28" i="57"/>
  <c r="F28" i="57"/>
  <c r="G13" i="57"/>
  <c r="F13" i="57"/>
  <c r="G17" i="57"/>
  <c r="G21" i="57"/>
  <c r="G25" i="57"/>
  <c r="G29" i="57"/>
  <c r="G33" i="57"/>
  <c r="G37" i="57"/>
  <c r="G41" i="57"/>
  <c r="G20" i="57"/>
  <c r="F20" i="57"/>
  <c r="G34" i="57"/>
  <c r="F34" i="57"/>
  <c r="G42" i="57"/>
  <c r="F42" i="57"/>
  <c r="G26" i="57"/>
  <c r="F26" i="57"/>
  <c r="G38" i="57"/>
  <c r="F38" i="57"/>
  <c r="G22" i="57"/>
  <c r="F22" i="57"/>
  <c r="G7" i="57"/>
  <c r="F7" i="57"/>
  <c r="G30" i="57"/>
  <c r="F30" i="57"/>
  <c r="G15" i="57"/>
  <c r="G19" i="57"/>
  <c r="G23" i="57"/>
  <c r="G27" i="57"/>
  <c r="G31" i="57"/>
  <c r="G35" i="57"/>
  <c r="G39" i="57"/>
  <c r="G43" i="57"/>
  <c r="G18" i="57"/>
  <c r="F18" i="57"/>
  <c r="G11" i="57"/>
  <c r="F11" i="57"/>
  <c r="G24" i="57"/>
  <c r="F24" i="57"/>
  <c r="G32" i="57"/>
  <c r="F32" i="57"/>
  <c r="G36" i="57"/>
  <c r="F36" i="57"/>
  <c r="G40" i="57"/>
  <c r="F40" i="57"/>
  <c r="F6" i="57"/>
  <c r="F8" i="57"/>
  <c r="F10" i="57"/>
  <c r="F12" i="57"/>
  <c r="F14" i="57"/>
  <c r="F15" i="57"/>
  <c r="F17" i="57"/>
  <c r="F19" i="57"/>
  <c r="F21" i="57"/>
  <c r="F23" i="57"/>
  <c r="F25" i="57"/>
  <c r="F27" i="57"/>
  <c r="F29" i="57"/>
  <c r="F31" i="57"/>
  <c r="F33" i="57"/>
  <c r="F35" i="57"/>
  <c r="F37" i="57"/>
  <c r="F39" i="57"/>
  <c r="F41" i="57"/>
  <c r="F43" i="57"/>
  <c r="G8" i="56"/>
  <c r="G12" i="56"/>
  <c r="G30" i="56"/>
  <c r="F30" i="56"/>
  <c r="G32" i="56"/>
  <c r="F32" i="56"/>
  <c r="G36" i="56"/>
  <c r="F36" i="56"/>
  <c r="G40" i="56"/>
  <c r="F40" i="56"/>
  <c r="G16" i="56"/>
  <c r="F16" i="56"/>
  <c r="G24" i="56"/>
  <c r="F24" i="56"/>
  <c r="G9" i="56"/>
  <c r="F9" i="56"/>
  <c r="G20" i="56"/>
  <c r="F20" i="56"/>
  <c r="G13" i="56"/>
  <c r="F13" i="56"/>
  <c r="G17" i="56"/>
  <c r="G21" i="56"/>
  <c r="G25" i="56"/>
  <c r="G29" i="56"/>
  <c r="G33" i="56"/>
  <c r="G37" i="56"/>
  <c r="G41" i="56"/>
  <c r="G28" i="56"/>
  <c r="F28" i="56"/>
  <c r="G18" i="56"/>
  <c r="F18" i="56"/>
  <c r="G34" i="56"/>
  <c r="F34" i="56"/>
  <c r="G38" i="56"/>
  <c r="F38" i="56"/>
  <c r="G42" i="56"/>
  <c r="F42" i="56"/>
  <c r="G22" i="56"/>
  <c r="F22" i="56"/>
  <c r="G7" i="56"/>
  <c r="F7" i="56"/>
  <c r="G11" i="56"/>
  <c r="F11" i="56"/>
  <c r="G26" i="56"/>
  <c r="F26" i="56"/>
  <c r="G15" i="56"/>
  <c r="G19" i="56"/>
  <c r="G23" i="56"/>
  <c r="G27" i="56"/>
  <c r="G31" i="56"/>
  <c r="G35" i="56"/>
  <c r="G39" i="56"/>
  <c r="G43" i="56"/>
  <c r="F6" i="56"/>
  <c r="F8" i="56"/>
  <c r="F10" i="56"/>
  <c r="F12" i="56"/>
  <c r="F14" i="56"/>
  <c r="F15" i="56"/>
  <c r="F17" i="56"/>
  <c r="F19" i="56"/>
  <c r="F21" i="56"/>
  <c r="F23" i="56"/>
  <c r="F25" i="56"/>
  <c r="F27" i="56"/>
  <c r="F29" i="56"/>
  <c r="F31" i="56"/>
  <c r="F33" i="56"/>
  <c r="F35" i="56"/>
  <c r="F37" i="56"/>
  <c r="F39" i="56"/>
  <c r="F41" i="56"/>
  <c r="F43" i="56"/>
  <c r="G24" i="55"/>
  <c r="F24" i="55"/>
  <c r="G13" i="55"/>
  <c r="F13" i="55"/>
  <c r="G20" i="55"/>
  <c r="F20" i="55"/>
  <c r="G9" i="55"/>
  <c r="F9" i="55"/>
  <c r="G17" i="55"/>
  <c r="G21" i="55"/>
  <c r="G25" i="55"/>
  <c r="G29" i="55"/>
  <c r="G33" i="55"/>
  <c r="G37" i="55"/>
  <c r="G41" i="55"/>
  <c r="G22" i="55"/>
  <c r="F22" i="55"/>
  <c r="G38" i="55"/>
  <c r="F38" i="55"/>
  <c r="G16" i="55"/>
  <c r="F16" i="55"/>
  <c r="G34" i="55"/>
  <c r="F34" i="55"/>
  <c r="G42" i="55"/>
  <c r="F42" i="55"/>
  <c r="G26" i="55"/>
  <c r="F26" i="55"/>
  <c r="G7" i="55"/>
  <c r="F7" i="55"/>
  <c r="G30" i="55"/>
  <c r="F30" i="55"/>
  <c r="G15" i="55"/>
  <c r="G19" i="55"/>
  <c r="G23" i="55"/>
  <c r="G27" i="55"/>
  <c r="G31" i="55"/>
  <c r="G35" i="55"/>
  <c r="G39" i="55"/>
  <c r="G43" i="55"/>
  <c r="G18" i="55"/>
  <c r="F18" i="55"/>
  <c r="G11" i="55"/>
  <c r="F11" i="55"/>
  <c r="G28" i="55"/>
  <c r="F28" i="55"/>
  <c r="G32" i="55"/>
  <c r="F32" i="55"/>
  <c r="G36" i="55"/>
  <c r="F36" i="55"/>
  <c r="G40" i="55"/>
  <c r="F40" i="55"/>
  <c r="G6" i="55"/>
  <c r="G8" i="55"/>
  <c r="G10" i="55"/>
  <c r="G12" i="55"/>
  <c r="G14" i="55"/>
  <c r="F15" i="55"/>
  <c r="F17" i="55"/>
  <c r="F19" i="55"/>
  <c r="F21" i="55"/>
  <c r="F23" i="55"/>
  <c r="F25" i="55"/>
  <c r="F27" i="55"/>
  <c r="F29" i="55"/>
  <c r="F31" i="55"/>
  <c r="F33" i="55"/>
  <c r="F35" i="55"/>
  <c r="F37" i="55"/>
  <c r="F39" i="55"/>
  <c r="F41" i="55"/>
  <c r="F43" i="55"/>
  <c r="G24" i="54"/>
  <c r="F24" i="54"/>
  <c r="G28" i="54"/>
  <c r="F28" i="54"/>
  <c r="G9" i="54"/>
  <c r="F9" i="54"/>
  <c r="F37" i="54"/>
  <c r="G13" i="54"/>
  <c r="F13" i="54"/>
  <c r="F17" i="54"/>
  <c r="F21" i="54"/>
  <c r="F25" i="54"/>
  <c r="F29" i="54"/>
  <c r="F33" i="54"/>
  <c r="F41" i="54"/>
  <c r="G16" i="54"/>
  <c r="F16" i="54"/>
  <c r="G34" i="54"/>
  <c r="F34" i="54"/>
  <c r="G42" i="54"/>
  <c r="F42" i="54"/>
  <c r="G22" i="54"/>
  <c r="F22" i="54"/>
  <c r="G38" i="54"/>
  <c r="F38" i="54"/>
  <c r="G30" i="54"/>
  <c r="F30" i="54"/>
  <c r="G7" i="54"/>
  <c r="F7" i="54"/>
  <c r="G18" i="54"/>
  <c r="F18" i="54"/>
  <c r="G11" i="54"/>
  <c r="F11" i="54"/>
  <c r="F15" i="54"/>
  <c r="F19" i="54"/>
  <c r="F23" i="54"/>
  <c r="F27" i="54"/>
  <c r="F31" i="54"/>
  <c r="F35" i="54"/>
  <c r="F39" i="54"/>
  <c r="F43" i="54"/>
  <c r="G26" i="54"/>
  <c r="F26" i="54"/>
  <c r="G20" i="54"/>
  <c r="F20" i="54"/>
  <c r="G32" i="54"/>
  <c r="F32" i="54"/>
  <c r="G36" i="54"/>
  <c r="F36" i="54"/>
  <c r="G40" i="54"/>
  <c r="F40" i="54"/>
  <c r="G6" i="54"/>
  <c r="G8" i="54"/>
  <c r="G10" i="54"/>
  <c r="G12" i="54"/>
  <c r="G14" i="54"/>
  <c r="G15" i="54"/>
  <c r="G17" i="54"/>
  <c r="G19" i="54"/>
  <c r="G21" i="54"/>
  <c r="G23" i="54"/>
  <c r="G25" i="54"/>
  <c r="G27" i="54"/>
  <c r="G29" i="54"/>
  <c r="G31" i="54"/>
  <c r="G33" i="54"/>
  <c r="G35" i="54"/>
  <c r="G37" i="54"/>
  <c r="G39" i="54"/>
  <c r="G41" i="54"/>
  <c r="G43" i="54"/>
  <c r="G28" i="53"/>
  <c r="F28" i="53"/>
  <c r="G24" i="53"/>
  <c r="F24" i="53"/>
  <c r="G9" i="53"/>
  <c r="F9" i="53"/>
  <c r="G17" i="53"/>
  <c r="G21" i="53"/>
  <c r="G25" i="53"/>
  <c r="G29" i="53"/>
  <c r="G33" i="53"/>
  <c r="G37" i="53"/>
  <c r="G41" i="53"/>
  <c r="G20" i="53"/>
  <c r="F20" i="53"/>
  <c r="G13" i="53"/>
  <c r="F13" i="53"/>
  <c r="G18" i="53"/>
  <c r="F18" i="53"/>
  <c r="G34" i="53"/>
  <c r="F34" i="53"/>
  <c r="G42" i="53"/>
  <c r="F42" i="53"/>
  <c r="G22" i="53"/>
  <c r="F22" i="53"/>
  <c r="G38" i="53"/>
  <c r="F38" i="53"/>
  <c r="G7" i="53"/>
  <c r="F7" i="53"/>
  <c r="G30" i="53"/>
  <c r="F30" i="53"/>
  <c r="G26" i="53"/>
  <c r="F26" i="53"/>
  <c r="G15" i="53"/>
  <c r="G19" i="53"/>
  <c r="G23" i="53"/>
  <c r="G27" i="53"/>
  <c r="G31" i="53"/>
  <c r="G35" i="53"/>
  <c r="G39" i="53"/>
  <c r="G43" i="53"/>
  <c r="G11" i="53"/>
  <c r="F11" i="53"/>
  <c r="G16" i="53"/>
  <c r="F16" i="53"/>
  <c r="G32" i="53"/>
  <c r="F32" i="53"/>
  <c r="G36" i="53"/>
  <c r="F36" i="53"/>
  <c r="G40" i="53"/>
  <c r="F40" i="53"/>
  <c r="F6" i="53"/>
  <c r="F8" i="53"/>
  <c r="F10" i="53"/>
  <c r="F12" i="53"/>
  <c r="F14" i="53"/>
  <c r="F15" i="53"/>
  <c r="F17" i="53"/>
  <c r="F19" i="53"/>
  <c r="F21" i="53"/>
  <c r="F23" i="53"/>
  <c r="F25" i="53"/>
  <c r="F27" i="53"/>
  <c r="F29" i="53"/>
  <c r="F31" i="53"/>
  <c r="F33" i="53"/>
  <c r="F35" i="53"/>
  <c r="F37" i="53"/>
  <c r="F39" i="53"/>
  <c r="F41" i="53"/>
  <c r="F43" i="53"/>
  <c r="F10" i="52"/>
  <c r="F6" i="52"/>
  <c r="F14" i="52"/>
  <c r="G28" i="52"/>
  <c r="F28" i="52"/>
  <c r="G16" i="52"/>
  <c r="F16" i="52"/>
  <c r="G18" i="52"/>
  <c r="F18" i="52"/>
  <c r="G9" i="52"/>
  <c r="F9" i="52"/>
  <c r="G24" i="52"/>
  <c r="F24" i="52"/>
  <c r="F17" i="52"/>
  <c r="F21" i="52"/>
  <c r="F25" i="52"/>
  <c r="F29" i="52"/>
  <c r="F33" i="52"/>
  <c r="F37" i="52"/>
  <c r="F41" i="52"/>
  <c r="G20" i="52"/>
  <c r="F20" i="52"/>
  <c r="G13" i="52"/>
  <c r="F13" i="52"/>
  <c r="G34" i="52"/>
  <c r="F34" i="52"/>
  <c r="G42" i="52"/>
  <c r="F42" i="52"/>
  <c r="G30" i="52"/>
  <c r="F30" i="52"/>
  <c r="G38" i="52"/>
  <c r="F38" i="52"/>
  <c r="G11" i="52"/>
  <c r="F11" i="52"/>
  <c r="G26" i="52"/>
  <c r="F26" i="52"/>
  <c r="F15" i="52"/>
  <c r="F19" i="52"/>
  <c r="F23" i="52"/>
  <c r="F27" i="52"/>
  <c r="F31" i="52"/>
  <c r="F35" i="52"/>
  <c r="F39" i="52"/>
  <c r="F43" i="52"/>
  <c r="G7" i="52"/>
  <c r="F7" i="52"/>
  <c r="G22" i="52"/>
  <c r="F22" i="52"/>
  <c r="G32" i="52"/>
  <c r="F32" i="52"/>
  <c r="G36" i="52"/>
  <c r="F36" i="52"/>
  <c r="G40" i="52"/>
  <c r="F40" i="52"/>
  <c r="G6" i="52"/>
  <c r="G8" i="52"/>
  <c r="G10" i="52"/>
  <c r="G12" i="52"/>
  <c r="G14" i="52"/>
  <c r="G15" i="52"/>
  <c r="G17" i="52"/>
  <c r="G19" i="52"/>
  <c r="G21" i="52"/>
  <c r="G23" i="52"/>
  <c r="G25" i="52"/>
  <c r="G27" i="52"/>
  <c r="G29" i="52"/>
  <c r="G31" i="52"/>
  <c r="G33" i="52"/>
  <c r="G35" i="52"/>
  <c r="G37" i="52"/>
  <c r="G39" i="52"/>
  <c r="G41" i="52"/>
  <c r="G43" i="52"/>
  <c r="G8" i="51"/>
  <c r="G12" i="51"/>
  <c r="G24" i="51"/>
  <c r="F24" i="51"/>
  <c r="G40" i="51"/>
  <c r="F40" i="51"/>
  <c r="G16" i="51"/>
  <c r="F16" i="51"/>
  <c r="G36" i="51"/>
  <c r="F36" i="51"/>
  <c r="G20" i="51"/>
  <c r="F20" i="51"/>
  <c r="F13" i="51"/>
  <c r="G13" i="51"/>
  <c r="G32" i="51"/>
  <c r="F32" i="51"/>
  <c r="G28" i="51"/>
  <c r="F28" i="51"/>
  <c r="G17" i="51"/>
  <c r="G21" i="51"/>
  <c r="G25" i="51"/>
  <c r="G29" i="51"/>
  <c r="G33" i="51"/>
  <c r="G37" i="51"/>
  <c r="G41" i="51"/>
  <c r="F9" i="51"/>
  <c r="G9" i="51"/>
  <c r="G34" i="51"/>
  <c r="F34" i="51"/>
  <c r="G38" i="51"/>
  <c r="F38" i="51"/>
  <c r="G42" i="51"/>
  <c r="F42" i="51"/>
  <c r="G30" i="51"/>
  <c r="F30" i="51"/>
  <c r="G22" i="51"/>
  <c r="F22" i="51"/>
  <c r="F11" i="51"/>
  <c r="G11" i="51"/>
  <c r="G26" i="51"/>
  <c r="F26" i="51"/>
  <c r="G18" i="51"/>
  <c r="F18" i="51"/>
  <c r="F7" i="51"/>
  <c r="G7" i="51"/>
  <c r="G15" i="51"/>
  <c r="G19" i="51"/>
  <c r="G23" i="51"/>
  <c r="G27" i="51"/>
  <c r="G31" i="51"/>
  <c r="G35" i="51"/>
  <c r="G39" i="51"/>
  <c r="G43" i="51"/>
  <c r="F6" i="51"/>
  <c r="F8" i="51"/>
  <c r="F10" i="51"/>
  <c r="F12" i="51"/>
  <c r="F14" i="51"/>
  <c r="F15" i="51"/>
  <c r="F17" i="51"/>
  <c r="F19" i="51"/>
  <c r="F21" i="51"/>
  <c r="F23" i="51"/>
  <c r="F25" i="51"/>
  <c r="F27" i="51"/>
  <c r="F29" i="51"/>
  <c r="F31" i="51"/>
  <c r="F33" i="51"/>
  <c r="F35" i="51"/>
  <c r="F37" i="51"/>
  <c r="F39" i="51"/>
  <c r="F41" i="51"/>
  <c r="F43" i="51"/>
  <c r="D42" i="28"/>
  <c r="D40" i="28"/>
  <c r="D36" i="28"/>
  <c r="D41" i="28"/>
  <c r="D37" i="28"/>
  <c r="D39" i="28"/>
  <c r="D38" i="28"/>
  <c r="C43" i="28"/>
  <c r="J8" i="28" s="1"/>
  <c r="D53" i="4"/>
  <c r="G53" i="4" s="1"/>
  <c r="C53" i="4"/>
  <c r="E53" i="4" s="1"/>
  <c r="D52" i="4"/>
  <c r="C52" i="4"/>
  <c r="E52" i="4" s="1"/>
  <c r="D51" i="4"/>
  <c r="C51" i="4"/>
  <c r="E51" i="4" s="1"/>
  <c r="D50" i="4"/>
  <c r="C50" i="4"/>
  <c r="E50" i="4" s="1"/>
  <c r="D49" i="4"/>
  <c r="C49" i="4"/>
  <c r="E49" i="4" s="1"/>
  <c r="D48" i="4"/>
  <c r="C48" i="4"/>
  <c r="E48" i="4" s="1"/>
  <c r="D47" i="4"/>
  <c r="G47" i="4" s="1"/>
  <c r="C47" i="4"/>
  <c r="E47" i="4" s="1"/>
  <c r="D46" i="4"/>
  <c r="C46" i="4"/>
  <c r="E46" i="4" s="1"/>
  <c r="D45" i="4"/>
  <c r="C45" i="4"/>
  <c r="E45" i="4" s="1"/>
  <c r="D44" i="4"/>
  <c r="C44" i="4"/>
  <c r="E44" i="4" s="1"/>
  <c r="C43" i="4"/>
  <c r="E43" i="4" s="1"/>
  <c r="B43" i="4"/>
  <c r="D43" i="4" s="1"/>
  <c r="C42" i="4"/>
  <c r="E42" i="4" s="1"/>
  <c r="B42" i="4"/>
  <c r="D42" i="4" s="1"/>
  <c r="C41" i="4"/>
  <c r="E41" i="4" s="1"/>
  <c r="B41" i="4"/>
  <c r="D41" i="4" s="1"/>
  <c r="C40" i="4"/>
  <c r="E40" i="4" s="1"/>
  <c r="B40" i="4"/>
  <c r="D40" i="4" s="1"/>
  <c r="C39" i="4"/>
  <c r="E39" i="4" s="1"/>
  <c r="B39" i="4"/>
  <c r="D39" i="4" s="1"/>
  <c r="C38" i="4"/>
  <c r="E38" i="4" s="1"/>
  <c r="B38" i="4"/>
  <c r="D38" i="4" s="1"/>
  <c r="C37" i="4"/>
  <c r="E37" i="4" s="1"/>
  <c r="B37" i="4"/>
  <c r="D37" i="4" s="1"/>
  <c r="C36" i="4"/>
  <c r="E36" i="4" s="1"/>
  <c r="B36" i="4"/>
  <c r="D36" i="4" s="1"/>
  <c r="C35" i="4"/>
  <c r="E35" i="4" s="1"/>
  <c r="B35" i="4"/>
  <c r="D35" i="4" s="1"/>
  <c r="C34" i="4"/>
  <c r="E34" i="4" s="1"/>
  <c r="B34" i="4"/>
  <c r="D34" i="4" s="1"/>
  <c r="C33" i="4"/>
  <c r="E33" i="4" s="1"/>
  <c r="B33" i="4"/>
  <c r="D33" i="4" s="1"/>
  <c r="C32" i="4"/>
  <c r="E32" i="4" s="1"/>
  <c r="B32" i="4"/>
  <c r="D32" i="4" s="1"/>
  <c r="C31" i="4"/>
  <c r="E31" i="4" s="1"/>
  <c r="B31" i="4"/>
  <c r="D31" i="4" s="1"/>
  <c r="C30" i="4"/>
  <c r="E30" i="4" s="1"/>
  <c r="B30" i="4"/>
  <c r="D30" i="4" s="1"/>
  <c r="C29" i="4"/>
  <c r="E29" i="4" s="1"/>
  <c r="B29" i="4"/>
  <c r="D29" i="4" s="1"/>
  <c r="C28" i="4"/>
  <c r="E28" i="4" s="1"/>
  <c r="B28" i="4"/>
  <c r="D28" i="4" s="1"/>
  <c r="C27" i="4"/>
  <c r="E27" i="4" s="1"/>
  <c r="B27" i="4"/>
  <c r="D27" i="4" s="1"/>
  <c r="C26" i="4"/>
  <c r="E26" i="4" s="1"/>
  <c r="B26" i="4"/>
  <c r="D26" i="4" s="1"/>
  <c r="C25" i="4"/>
  <c r="E25" i="4" s="1"/>
  <c r="B25" i="4"/>
  <c r="D25" i="4" s="1"/>
  <c r="C24" i="4"/>
  <c r="E24" i="4" s="1"/>
  <c r="B24" i="4"/>
  <c r="D24" i="4" s="1"/>
  <c r="C23" i="4"/>
  <c r="E23" i="4" s="1"/>
  <c r="B23" i="4"/>
  <c r="D23" i="4" s="1"/>
  <c r="C22" i="4"/>
  <c r="E22" i="4" s="1"/>
  <c r="B22" i="4"/>
  <c r="D22" i="4" s="1"/>
  <c r="C21" i="4"/>
  <c r="E21" i="4" s="1"/>
  <c r="B21" i="4"/>
  <c r="D21" i="4" s="1"/>
  <c r="C20" i="4"/>
  <c r="E20" i="4" s="1"/>
  <c r="B20" i="4"/>
  <c r="D20" i="4" s="1"/>
  <c r="C19" i="4"/>
  <c r="E19" i="4" s="1"/>
  <c r="B19" i="4"/>
  <c r="D19" i="4" s="1"/>
  <c r="C18" i="4"/>
  <c r="E18" i="4" s="1"/>
  <c r="B18" i="4"/>
  <c r="D18" i="4" s="1"/>
  <c r="C17" i="4"/>
  <c r="E17" i="4" s="1"/>
  <c r="B17" i="4"/>
  <c r="D17" i="4" s="1"/>
  <c r="C16" i="4"/>
  <c r="E16" i="4" s="1"/>
  <c r="B16" i="4"/>
  <c r="D16" i="4" s="1"/>
  <c r="C15" i="4"/>
  <c r="E15" i="4" s="1"/>
  <c r="B15" i="4"/>
  <c r="D15" i="4" s="1"/>
  <c r="C14" i="4"/>
  <c r="E14" i="4" s="1"/>
  <c r="B14" i="4"/>
  <c r="D14" i="4" s="1"/>
  <c r="C13" i="4"/>
  <c r="E13" i="4" s="1"/>
  <c r="B13" i="4"/>
  <c r="D13" i="4" s="1"/>
  <c r="E12" i="4"/>
  <c r="B12" i="4"/>
  <c r="D12" i="4" s="1"/>
  <c r="C11" i="4"/>
  <c r="E11" i="4" s="1"/>
  <c r="B11" i="4"/>
  <c r="D11" i="4" s="1"/>
  <c r="C10" i="4"/>
  <c r="E10" i="4" s="1"/>
  <c r="C9" i="4"/>
  <c r="E9" i="4" s="1"/>
  <c r="C8" i="4"/>
  <c r="E8" i="4" s="1"/>
  <c r="C7" i="4"/>
  <c r="E7" i="4" s="1"/>
  <c r="C6" i="4"/>
  <c r="E6" i="4" s="1"/>
  <c r="G5" i="4"/>
  <c r="F5" i="4"/>
  <c r="C5" i="4"/>
  <c r="M3" i="4"/>
  <c r="M2" i="4"/>
  <c r="D26" i="28" a="1"/>
  <c r="C18" i="28" a="1"/>
  <c r="C21" i="28" a="1"/>
  <c r="C19" i="28" a="1"/>
  <c r="D28" i="28" a="1"/>
  <c r="C20" i="28" a="1"/>
  <c r="C25" i="28" a="1"/>
  <c r="D21" i="28" a="1"/>
  <c r="C24" i="28" a="1"/>
  <c r="C22" i="28" a="1"/>
  <c r="D23" i="28" a="1"/>
  <c r="C28" i="28" a="1"/>
  <c r="C27" i="28" a="1"/>
  <c r="D20" i="28" a="1"/>
  <c r="D24" i="28" a="1"/>
  <c r="D19" i="28" a="1"/>
  <c r="C23" i="28" a="1"/>
  <c r="C26" i="28" a="1"/>
  <c r="D18" i="28" a="1"/>
  <c r="D25" i="28" a="1"/>
  <c r="D27" i="28" a="1"/>
  <c r="D22" i="28" a="1"/>
  <c r="F54" i="52" l="1"/>
  <c r="F54" i="55"/>
  <c r="F54" i="58"/>
  <c r="F54" i="61"/>
  <c r="F54" i="54"/>
  <c r="F54" i="60"/>
  <c r="F54" i="51"/>
  <c r="F54" i="59"/>
  <c r="F54" i="57"/>
  <c r="F54" i="56"/>
  <c r="F54" i="53"/>
  <c r="G54" i="61"/>
  <c r="G54" i="60"/>
  <c r="G54" i="59"/>
  <c r="G54" i="58"/>
  <c r="G54" i="57"/>
  <c r="G54" i="56"/>
  <c r="G54" i="55"/>
  <c r="G54" i="54"/>
  <c r="G54" i="53"/>
  <c r="G54" i="52"/>
  <c r="G54" i="51"/>
  <c r="C19" i="28"/>
  <c r="C18" i="28"/>
  <c r="C20" i="28"/>
  <c r="C22" i="28"/>
  <c r="C21" i="28"/>
  <c r="C23" i="28"/>
  <c r="C24" i="28"/>
  <c r="C25" i="28"/>
  <c r="C26" i="28"/>
  <c r="C27" i="28"/>
  <c r="C28" i="28"/>
  <c r="D22" i="28"/>
  <c r="D23" i="28"/>
  <c r="D24" i="28"/>
  <c r="D25" i="28"/>
  <c r="D26" i="28"/>
  <c r="D27" i="28"/>
  <c r="D28" i="28"/>
  <c r="D18" i="28"/>
  <c r="D19" i="28"/>
  <c r="D20" i="28"/>
  <c r="D21" i="28"/>
  <c r="D43" i="28"/>
  <c r="N8" i="28" s="1"/>
  <c r="D54" i="4"/>
  <c r="F46" i="4"/>
  <c r="F52" i="4"/>
  <c r="F53" i="4"/>
  <c r="F49" i="4"/>
  <c r="F50" i="4"/>
  <c r="F51" i="4"/>
  <c r="F47" i="4"/>
  <c r="F48" i="4"/>
  <c r="F45" i="4"/>
  <c r="E54" i="4"/>
  <c r="G28" i="4"/>
  <c r="F44" i="4"/>
  <c r="G41" i="4"/>
  <c r="G40" i="4"/>
  <c r="F37" i="4"/>
  <c r="G36" i="4"/>
  <c r="G35" i="4"/>
  <c r="F17" i="4"/>
  <c r="G17" i="4"/>
  <c r="G16" i="4"/>
  <c r="F13" i="4"/>
  <c r="G12" i="4"/>
  <c r="F30" i="4"/>
  <c r="F6" i="4"/>
  <c r="G24" i="4"/>
  <c r="F24" i="4"/>
  <c r="G8" i="4"/>
  <c r="G10" i="4"/>
  <c r="G23" i="4"/>
  <c r="F28" i="4"/>
  <c r="F41" i="4"/>
  <c r="G22" i="4"/>
  <c r="G42" i="4"/>
  <c r="G11" i="4"/>
  <c r="G34" i="4"/>
  <c r="G7" i="4"/>
  <c r="F7" i="4"/>
  <c r="F16" i="4"/>
  <c r="G29" i="4"/>
  <c r="F29" i="4"/>
  <c r="G43" i="4"/>
  <c r="F43" i="4"/>
  <c r="G25" i="4"/>
  <c r="G30" i="4"/>
  <c r="F39" i="4"/>
  <c r="G39" i="4"/>
  <c r="G13" i="4"/>
  <c r="G18" i="4"/>
  <c r="F40" i="4"/>
  <c r="G31" i="4"/>
  <c r="F31" i="4"/>
  <c r="G14" i="4"/>
  <c r="F14" i="4"/>
  <c r="G27" i="4"/>
  <c r="F27" i="4"/>
  <c r="G32" i="4"/>
  <c r="F26" i="4"/>
  <c r="G26" i="4"/>
  <c r="G19" i="4"/>
  <c r="F19" i="4"/>
  <c r="G33" i="4"/>
  <c r="F33" i="4"/>
  <c r="G6" i="4"/>
  <c r="F15" i="4"/>
  <c r="G15" i="4"/>
  <c r="G20" i="4"/>
  <c r="G9" i="4"/>
  <c r="F9" i="4"/>
  <c r="G37" i="4"/>
  <c r="G21" i="4"/>
  <c r="F21" i="4"/>
  <c r="G38" i="4"/>
  <c r="F38" i="4"/>
  <c r="F11" i="4"/>
  <c r="F22" i="4"/>
  <c r="F35" i="4"/>
  <c r="F20" i="4"/>
  <c r="F18" i="4"/>
  <c r="F42" i="4"/>
  <c r="F12" i="4"/>
  <c r="F25" i="4"/>
  <c r="F36" i="4"/>
  <c r="F10" i="4"/>
  <c r="F23" i="4"/>
  <c r="F34" i="4"/>
  <c r="F8" i="4"/>
  <c r="F32" i="4"/>
  <c r="D17" i="28" a="1"/>
  <c r="C17" i="28" a="1"/>
  <c r="E25" i="28" l="1"/>
  <c r="F22" i="28"/>
  <c r="E18" i="28"/>
  <c r="F18" i="28"/>
  <c r="F28" i="28"/>
  <c r="F27" i="28"/>
  <c r="E28" i="28"/>
  <c r="E20" i="28"/>
  <c r="F24" i="28"/>
  <c r="E21" i="28"/>
  <c r="F19" i="28"/>
  <c r="F26" i="28"/>
  <c r="E19" i="28"/>
  <c r="E23" i="28"/>
  <c r="E27" i="28"/>
  <c r="F23" i="28"/>
  <c r="D17" i="28"/>
  <c r="E56" i="4"/>
  <c r="E56" i="51" s="1"/>
  <c r="E56" i="52" s="1"/>
  <c r="E56" i="53" s="1"/>
  <c r="E56" i="54" s="1"/>
  <c r="E56" i="55" s="1"/>
  <c r="E56" i="56" s="1"/>
  <c r="E56" i="57" s="1"/>
  <c r="E56" i="58" s="1"/>
  <c r="E56" i="59" s="1"/>
  <c r="E56" i="60" s="1"/>
  <c r="E56" i="61" s="1"/>
  <c r="E24" i="28"/>
  <c r="F21" i="28"/>
  <c r="F20" i="28"/>
  <c r="C17" i="28"/>
  <c r="D56" i="4"/>
  <c r="D56" i="51" s="1"/>
  <c r="D56" i="52" s="1"/>
  <c r="D56" i="53" s="1"/>
  <c r="D56" i="54" s="1"/>
  <c r="D56" i="55" s="1"/>
  <c r="D56" i="56" s="1"/>
  <c r="D56" i="57" s="1"/>
  <c r="D56" i="58" s="1"/>
  <c r="D56" i="59" s="1"/>
  <c r="D56" i="60" s="1"/>
  <c r="D56" i="61" s="1"/>
  <c r="E22" i="28"/>
  <c r="E26" i="28"/>
  <c r="F54" i="4"/>
  <c r="G54" i="4"/>
  <c r="G56" i="61" l="1"/>
  <c r="F56" i="56"/>
  <c r="F56" i="51"/>
  <c r="F56" i="58"/>
  <c r="F56" i="57"/>
  <c r="G56" i="52"/>
  <c r="F56" i="52"/>
  <c r="G56" i="53"/>
  <c r="F56" i="60"/>
  <c r="G56" i="58"/>
  <c r="G56" i="54"/>
  <c r="G56" i="60"/>
  <c r="G56" i="56"/>
  <c r="G56" i="51"/>
  <c r="F56" i="53"/>
  <c r="F56" i="55"/>
  <c r="F56" i="61"/>
  <c r="G56" i="57"/>
  <c r="F56" i="59"/>
  <c r="G56" i="59"/>
  <c r="F56" i="54"/>
  <c r="G56" i="55"/>
  <c r="F25" i="28"/>
  <c r="G56" i="4"/>
  <c r="F56" i="4"/>
  <c r="F8" i="28"/>
  <c r="D29" i="28"/>
  <c r="F17" i="28"/>
  <c r="E17" i="28"/>
  <c r="C29" i="28"/>
  <c r="B8" i="28" l="1"/>
  <c r="H8" i="28"/>
  <c r="F29" i="28"/>
  <c r="E29" i="28"/>
  <c r="D8" i="28" l="1"/>
  <c r="B10" i="2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<sst xmlns="http://schemas.openxmlformats.org/spreadsheetml/2006/main" count="8974" uniqueCount="2827">
  <si>
    <t>Clé</t>
  </si>
  <si>
    <t>Année</t>
  </si>
  <si>
    <t>Date</t>
  </si>
  <si>
    <t>Jour</t>
  </si>
  <si>
    <t>Mois</t>
  </si>
  <si>
    <t>Valeur</t>
  </si>
  <si>
    <t>2024|2024-07-02</t>
  </si>
  <si>
    <t>Mardi</t>
  </si>
  <si>
    <t>juillet</t>
  </si>
  <si>
    <t>2024|2024-07-03</t>
  </si>
  <si>
    <t>Mercredi</t>
  </si>
  <si>
    <t>2025|2025-07-02</t>
  </si>
  <si>
    <t>2025|2025-07-03</t>
  </si>
  <si>
    <t>Jeudi</t>
  </si>
  <si>
    <t>2025|2025-01-01</t>
  </si>
  <si>
    <t>janvier</t>
  </si>
  <si>
    <t>2025|2025-01-02</t>
  </si>
  <si>
    <t>2025|2025-01-03</t>
  </si>
  <si>
    <t>Vendredi</t>
  </si>
  <si>
    <t>2025|2025-01-04</t>
  </si>
  <si>
    <t>Samedi</t>
  </si>
  <si>
    <t>2025|2025-01-05</t>
  </si>
  <si>
    <t>Dimanche</t>
  </si>
  <si>
    <t>2025|2025-01-06</t>
  </si>
  <si>
    <t>Lundi</t>
  </si>
  <si>
    <t>2025|2025-01-07</t>
  </si>
  <si>
    <t>2025|2025-01-08</t>
  </si>
  <si>
    <t>2025|2025-01-09</t>
  </si>
  <si>
    <t>2025|2025-01-10</t>
  </si>
  <si>
    <t>2025|2025-01-11</t>
  </si>
  <si>
    <t>2025|2025-01-12</t>
  </si>
  <si>
    <t>2025|2025-01-13</t>
  </si>
  <si>
    <t>2025|2025-01-14</t>
  </si>
  <si>
    <t>2025|2025-01-15</t>
  </si>
  <si>
    <t>2025|2025-01-16</t>
  </si>
  <si>
    <t>2025|2025-01-17</t>
  </si>
  <si>
    <t>2025|2025-01-18</t>
  </si>
  <si>
    <t>2025|2025-01-19</t>
  </si>
  <si>
    <t>2025|2025-01-20</t>
  </si>
  <si>
    <t>2025|2025-01-21</t>
  </si>
  <si>
    <t>2025|2025-01-22</t>
  </si>
  <si>
    <t>2025|2025-01-23</t>
  </si>
  <si>
    <t>2025|2025-01-24</t>
  </si>
  <si>
    <t>2025|2025-01-25</t>
  </si>
  <si>
    <t>2025|2025-01-26</t>
  </si>
  <si>
    <t>2025|2025-01-27</t>
  </si>
  <si>
    <t>2025|2025-01-28</t>
  </si>
  <si>
    <t>2025|2025-01-29</t>
  </si>
  <si>
    <t>2025|2025-01-30</t>
  </si>
  <si>
    <t>2025|2025-01-31</t>
  </si>
  <si>
    <t>2025|2025-02-01</t>
  </si>
  <si>
    <t>février</t>
  </si>
  <si>
    <t>2025|2025-02-02</t>
  </si>
  <si>
    <t>2025|2025-02-03</t>
  </si>
  <si>
    <t>2025|2025-02-04</t>
  </si>
  <si>
    <t>2025|2025-02-05</t>
  </si>
  <si>
    <t>2025|2025-02-06</t>
  </si>
  <si>
    <t>2025|2025-02-07</t>
  </si>
  <si>
    <t>2025|2025-02-08</t>
  </si>
  <si>
    <t>2025|2025-02-09</t>
  </si>
  <si>
    <t>2025|2025-02-10</t>
  </si>
  <si>
    <t>2025|2025-02-11</t>
  </si>
  <si>
    <t>2025|2025-02-12</t>
  </si>
  <si>
    <t>2025|2025-02-13</t>
  </si>
  <si>
    <t>2025|2025-02-14</t>
  </si>
  <si>
    <t>2025|2025-02-15</t>
  </si>
  <si>
    <t>2025|2025-02-16</t>
  </si>
  <si>
    <t>2025|2025-02-17</t>
  </si>
  <si>
    <t>2025|2025-02-18</t>
  </si>
  <si>
    <t>2025|2025-02-19</t>
  </si>
  <si>
    <t>2025|2025-02-20</t>
  </si>
  <si>
    <t>2025|2025-02-21</t>
  </si>
  <si>
    <t>2025|2025-02-22</t>
  </si>
  <si>
    <t>2025|2025-02-23</t>
  </si>
  <si>
    <t>2025|2025-02-24</t>
  </si>
  <si>
    <t>2025|2025-02-25</t>
  </si>
  <si>
    <t>2025|2025-02-26</t>
  </si>
  <si>
    <t>2025|2025-02-27</t>
  </si>
  <si>
    <t>2025|2025-02-28</t>
  </si>
  <si>
    <t>2025|2025-03-01</t>
  </si>
  <si>
    <t>mars</t>
  </si>
  <si>
    <t>2025|2025-03-02</t>
  </si>
  <si>
    <t>2025|2025-03-03</t>
  </si>
  <si>
    <t>2025|2025-03-04</t>
  </si>
  <si>
    <t>2025|2025-03-05</t>
  </si>
  <si>
    <t>2025|2025-03-06</t>
  </si>
  <si>
    <t>2025|2025-03-07</t>
  </si>
  <si>
    <t>2025|2025-03-08</t>
  </si>
  <si>
    <t>2025|2025-03-09</t>
  </si>
  <si>
    <t>2025|2025-03-10</t>
  </si>
  <si>
    <t>2025|2025-03-11</t>
  </si>
  <si>
    <t>2025|2025-03-12</t>
  </si>
  <si>
    <t>2025|2025-03-13</t>
  </si>
  <si>
    <t>2025|2025-03-14</t>
  </si>
  <si>
    <t>2025|2025-03-15</t>
  </si>
  <si>
    <t>2025|2025-03-16</t>
  </si>
  <si>
    <t>2025|2025-03-17</t>
  </si>
  <si>
    <t>2025|2025-03-18</t>
  </si>
  <si>
    <t>2025|2025-03-19</t>
  </si>
  <si>
    <t>2025|2025-03-20</t>
  </si>
  <si>
    <t>2025|2025-03-21</t>
  </si>
  <si>
    <t>2025|2025-03-22</t>
  </si>
  <si>
    <t>2025|2025-03-23</t>
  </si>
  <si>
    <t>2025|2025-03-24</t>
  </si>
  <si>
    <t>2025|2025-03-25</t>
  </si>
  <si>
    <t>2025|2025-03-26</t>
  </si>
  <si>
    <t>2025|2025-03-27</t>
  </si>
  <si>
    <t>2025|2025-03-28</t>
  </si>
  <si>
    <t>2025|2025-03-29</t>
  </si>
  <si>
    <t>2025|2025-03-30</t>
  </si>
  <si>
    <t>2025|2025-03-31</t>
  </si>
  <si>
    <t>2025|2025-04-02</t>
  </si>
  <si>
    <t>avril</t>
  </si>
  <si>
    <t>2025|2025-04-03</t>
  </si>
  <si>
    <t>2025|2025-04-04</t>
  </si>
  <si>
    <t>2025|2025-04-05</t>
  </si>
  <si>
    <t>2025|2025-04-01</t>
  </si>
  <si>
    <t>2025|2025-04-06</t>
  </si>
  <si>
    <t>2025|2025-04-07</t>
  </si>
  <si>
    <t>2025|2025-04-08</t>
  </si>
  <si>
    <t>2025|2025-04-09</t>
  </si>
  <si>
    <t>2025|2025-04-10</t>
  </si>
  <si>
    <t>2025|2025-04-11</t>
  </si>
  <si>
    <t>2025|2025-04-12</t>
  </si>
  <si>
    <t>2025|2025-04-13</t>
  </si>
  <si>
    <t>2025|2025-04-14</t>
  </si>
  <si>
    <t>2025|2025-04-15</t>
  </si>
  <si>
    <t>2025|2025-04-16</t>
  </si>
  <si>
    <t>2025|2025-04-17</t>
  </si>
  <si>
    <t>2025|2025-04-18</t>
  </si>
  <si>
    <t>2025|2025-04-19</t>
  </si>
  <si>
    <t>2025|2025-04-20</t>
  </si>
  <si>
    <t>2025|2025-04-21</t>
  </si>
  <si>
    <t>2025|2025-04-22</t>
  </si>
  <si>
    <t>2025|2025-04-23</t>
  </si>
  <si>
    <t>2025|2025-04-24</t>
  </si>
  <si>
    <t>2025|2025-04-25</t>
  </si>
  <si>
    <t>2025|2025-04-26</t>
  </si>
  <si>
    <t>2025|2025-04-27</t>
  </si>
  <si>
    <t>2025|2025-04-28</t>
  </si>
  <si>
    <t>2025|2025-04-29</t>
  </si>
  <si>
    <t>2025|2025-04-30</t>
  </si>
  <si>
    <t>2025|2025-05-02</t>
  </si>
  <si>
    <t>mai</t>
  </si>
  <si>
    <t>2025|2025-05-03</t>
  </si>
  <si>
    <t>2025|2025-05-04</t>
  </si>
  <si>
    <t>2025|2025-05-05</t>
  </si>
  <si>
    <t>2025|2025-05-06</t>
  </si>
  <si>
    <t>2025|2025-05-07</t>
  </si>
  <si>
    <t>2025|2025-05-08</t>
  </si>
  <si>
    <t>2025|2025-05-09</t>
  </si>
  <si>
    <t>2025|2025-05-10</t>
  </si>
  <si>
    <t>2025|2025-05-11</t>
  </si>
  <si>
    <t>2025|2025-05-12</t>
  </si>
  <si>
    <t>2025|2025-05-13</t>
  </si>
  <si>
    <t>2025|2025-05-14</t>
  </si>
  <si>
    <t>2025|2025-05-15</t>
  </si>
  <si>
    <t>2025|2025-05-16</t>
  </si>
  <si>
    <t>2025|2025-05-17</t>
  </si>
  <si>
    <t>2025|2025-05-18</t>
  </si>
  <si>
    <t>2025|2025-05-19</t>
  </si>
  <si>
    <t>2025|2025-05-20</t>
  </si>
  <si>
    <t>2025|2025-05-21</t>
  </si>
  <si>
    <t>2025|2025-05-22</t>
  </si>
  <si>
    <t>2025|2025-05-23</t>
  </si>
  <si>
    <t>2025|2025-05-24</t>
  </si>
  <si>
    <t>2025|2025-05-25</t>
  </si>
  <si>
    <t>2025|2025-05-26</t>
  </si>
  <si>
    <t>2025|2025-05-27</t>
  </si>
  <si>
    <t>2025|2025-05-28</t>
  </si>
  <si>
    <t>2025|2025-05-29</t>
  </si>
  <si>
    <t>2025|2025-05-30</t>
  </si>
  <si>
    <t>2025|2025-05-31</t>
  </si>
  <si>
    <t>2025|2025-06-03</t>
  </si>
  <si>
    <t>juin</t>
  </si>
  <si>
    <t>2025|2025-06-04</t>
  </si>
  <si>
    <t>2025|2025-06-05</t>
  </si>
  <si>
    <t>2025|2025-06-06</t>
  </si>
  <si>
    <t>2025|2025-06-07</t>
  </si>
  <si>
    <t>2025|2025-06-08</t>
  </si>
  <si>
    <t>2025|2025-06-09</t>
  </si>
  <si>
    <t>2025|2025-06-01</t>
  </si>
  <si>
    <t>2025|2025-06-02</t>
  </si>
  <si>
    <t>2025|2025-06-10</t>
  </si>
  <si>
    <t>2025|2025-06-11</t>
  </si>
  <si>
    <t>2025|2025-06-12</t>
  </si>
  <si>
    <t>2025|2025-06-13</t>
  </si>
  <si>
    <t>2025|2025-06-14</t>
  </si>
  <si>
    <t>2025|2025-06-15</t>
  </si>
  <si>
    <t>2025|2025-06-16</t>
  </si>
  <si>
    <t>2025|2025-06-17</t>
  </si>
  <si>
    <t>2025|2025-06-18</t>
  </si>
  <si>
    <t>2025|2025-06-19</t>
  </si>
  <si>
    <t>2025|2025-06-20</t>
  </si>
  <si>
    <t>2025|2025-06-21</t>
  </si>
  <si>
    <t>2025|2025-06-22</t>
  </si>
  <si>
    <t>2025|2025-06-23</t>
  </si>
  <si>
    <t>2025|2025-06-24</t>
  </si>
  <si>
    <t>2025|2025-06-25</t>
  </si>
  <si>
    <t>2025|2025-06-26</t>
  </si>
  <si>
    <t>2025|2025-06-27</t>
  </si>
  <si>
    <t>2025|2025-06-28</t>
  </si>
  <si>
    <t>2025|2025-06-29</t>
  </si>
  <si>
    <t>2025|2025-06-30</t>
  </si>
  <si>
    <t>2025|2025-07-01</t>
  </si>
  <si>
    <t>2025|2025-07-04</t>
  </si>
  <si>
    <t>2025|2025-07-05</t>
  </si>
  <si>
    <t>2025|2025-07-06</t>
  </si>
  <si>
    <t>2025|2025-07-07</t>
  </si>
  <si>
    <t>2025|2025-07-08</t>
  </si>
  <si>
    <t>2025|2025-07-09</t>
  </si>
  <si>
    <t>2025|2025-07-10</t>
  </si>
  <si>
    <t>2025|2025-07-11</t>
  </si>
  <si>
    <t>2025|2025-07-12</t>
  </si>
  <si>
    <t>2025|2025-07-13</t>
  </si>
  <si>
    <t>2025|2025-07-14</t>
  </si>
  <si>
    <t>2025|2025-07-15</t>
  </si>
  <si>
    <t>2025|2025-07-16</t>
  </si>
  <si>
    <t>2025|2025-07-17</t>
  </si>
  <si>
    <t>2025|2025-07-18</t>
  </si>
  <si>
    <t>2025|2025-07-19</t>
  </si>
  <si>
    <t>2025|2025-07-20</t>
  </si>
  <si>
    <t>2025|2025-07-21</t>
  </si>
  <si>
    <t>2025|2025-07-22</t>
  </si>
  <si>
    <t>2025|2025-07-23</t>
  </si>
  <si>
    <t>2025|2025-07-24</t>
  </si>
  <si>
    <t>2025|2025-07-25</t>
  </si>
  <si>
    <t>2025|2025-07-26</t>
  </si>
  <si>
    <t>2025|2025-07-27</t>
  </si>
  <si>
    <t>2025|2025-07-28</t>
  </si>
  <si>
    <t>2025|2025-07-29</t>
  </si>
  <si>
    <t>2025|2025-07-30</t>
  </si>
  <si>
    <t>2025|2025-07-31</t>
  </si>
  <si>
    <t>2025|2025-08-01</t>
  </si>
  <si>
    <t>août</t>
  </si>
  <si>
    <t>2025|2025-08-02</t>
  </si>
  <si>
    <t>2025|2025-08-03</t>
  </si>
  <si>
    <t>2025|2025-08-04</t>
  </si>
  <si>
    <t>2025|2025-08-05</t>
  </si>
  <si>
    <t>2025|2025-08-06</t>
  </si>
  <si>
    <t>2025|2025-08-07</t>
  </si>
  <si>
    <t>2025|2025-08-08</t>
  </si>
  <si>
    <t>2025|2025-08-09</t>
  </si>
  <si>
    <t>2025|2025-08-10</t>
  </si>
  <si>
    <t>2025|2025-08-11</t>
  </si>
  <si>
    <t>2025|2025-08-12</t>
  </si>
  <si>
    <t>2025|2025-08-13</t>
  </si>
  <si>
    <t>2025|2025-08-14</t>
  </si>
  <si>
    <t>2025|2025-08-15</t>
  </si>
  <si>
    <t>2025|2025-08-16</t>
  </si>
  <si>
    <t>2025|2025-08-17</t>
  </si>
  <si>
    <t>2025|2025-08-18</t>
  </si>
  <si>
    <t>2025|2025-08-19</t>
  </si>
  <si>
    <t>2025|2025-08-20</t>
  </si>
  <si>
    <t>2025|2025-08-21</t>
  </si>
  <si>
    <t>2025|2025-08-22</t>
  </si>
  <si>
    <t>2025|2025-08-23</t>
  </si>
  <si>
    <t>2025|2025-08-24</t>
  </si>
  <si>
    <t>2025|2025-08-25</t>
  </si>
  <si>
    <t>2025|2025-08-26</t>
  </si>
  <si>
    <t>2025|2025-08-27</t>
  </si>
  <si>
    <t>2025|2025-08-28</t>
  </si>
  <si>
    <t>2025|2025-08-29</t>
  </si>
  <si>
    <t>2025|2025-08-30</t>
  </si>
  <si>
    <t>2025|2025-09-01</t>
  </si>
  <si>
    <t>septembre</t>
  </si>
  <si>
    <t>2025|2025-09-02</t>
  </si>
  <si>
    <t>2025|2025-09-03</t>
  </si>
  <si>
    <t>2025|2025-09-04</t>
  </si>
  <si>
    <t>2025|2025-09-05</t>
  </si>
  <si>
    <t>2025|2025-09-06</t>
  </si>
  <si>
    <t>2025|2025-09-07</t>
  </si>
  <si>
    <t>2025|2025-09-08</t>
  </si>
  <si>
    <t>2025|2025-09-09</t>
  </si>
  <si>
    <t>2025|2025-09-10</t>
  </si>
  <si>
    <t>2025|2025-09-11</t>
  </si>
  <si>
    <t>2025|2025-09-12</t>
  </si>
  <si>
    <t>2025|2025-09-13</t>
  </si>
  <si>
    <t>2025|2025-09-14</t>
  </si>
  <si>
    <t>2025|2025-09-15</t>
  </si>
  <si>
    <t>2025|2025-09-16</t>
  </si>
  <si>
    <t>2025|2025-09-17</t>
  </si>
  <si>
    <t>2025|2025-09-18</t>
  </si>
  <si>
    <t>2025|2025-09-19</t>
  </si>
  <si>
    <t>2025|2025-09-20</t>
  </si>
  <si>
    <t>2025|2025-09-21</t>
  </si>
  <si>
    <t>2025|2025-09-22</t>
  </si>
  <si>
    <t>2025|2025-09-23</t>
  </si>
  <si>
    <t>2025|2025-09-24</t>
  </si>
  <si>
    <t>2025|2025-09-25</t>
  </si>
  <si>
    <t>2025|2025-09-26</t>
  </si>
  <si>
    <t>2025|2025-09-27</t>
  </si>
  <si>
    <t>2025|2025-09-28</t>
  </si>
  <si>
    <t>2025|2025-09-29</t>
  </si>
  <si>
    <t>2025|2025-09-30</t>
  </si>
  <si>
    <t>2025|2025-10-01</t>
  </si>
  <si>
    <t>octobre</t>
  </si>
  <si>
    <t>2025|2025-10-02</t>
  </si>
  <si>
    <t>2025|2025-10-03</t>
  </si>
  <si>
    <t>2025|2025-10-04</t>
  </si>
  <si>
    <t>2025|2025-10-05</t>
  </si>
  <si>
    <t>2025|2025-10-06</t>
  </si>
  <si>
    <t>2025|2025-10-07</t>
  </si>
  <si>
    <t>2025|2025-10-08</t>
  </si>
  <si>
    <t>2025|2025-10-09</t>
  </si>
  <si>
    <t>2025|2025-10-10</t>
  </si>
  <si>
    <t>2025|2025-10-11</t>
  </si>
  <si>
    <t>2025|2025-10-12</t>
  </si>
  <si>
    <t>2025|2025-10-13</t>
  </si>
  <si>
    <t>2025|2025-10-14</t>
  </si>
  <si>
    <t>2025|2025-10-15</t>
  </si>
  <si>
    <t>2025|2025-10-16</t>
  </si>
  <si>
    <t>2025|2025-10-17</t>
  </si>
  <si>
    <t>2025|2025-10-18</t>
  </si>
  <si>
    <t>2025|2025-10-19</t>
  </si>
  <si>
    <t>2025|2025-10-20</t>
  </si>
  <si>
    <t>2025|2025-10-21</t>
  </si>
  <si>
    <t>2025|2025-10-22</t>
  </si>
  <si>
    <t>2025|2025-10-23</t>
  </si>
  <si>
    <t>2025|2025-10-24</t>
  </si>
  <si>
    <t>2025|2025-10-25</t>
  </si>
  <si>
    <t>2025|2025-10-26</t>
  </si>
  <si>
    <t>2025|2025-10-27</t>
  </si>
  <si>
    <t>2025|2025-10-28</t>
  </si>
  <si>
    <t>2025|2025-10-29</t>
  </si>
  <si>
    <t>2025|2025-10-30</t>
  </si>
  <si>
    <t>2025|2025-10-31</t>
  </si>
  <si>
    <t>2025|2025-11-01</t>
  </si>
  <si>
    <t>novembre</t>
  </si>
  <si>
    <t>2025|2025-11-02</t>
  </si>
  <si>
    <t>2025|2025-11-03</t>
  </si>
  <si>
    <t>2025|2025-11-04</t>
  </si>
  <si>
    <t>2025|2025-11-05</t>
  </si>
  <si>
    <t>2025|2025-11-06</t>
  </si>
  <si>
    <t>2025|2025-11-07</t>
  </si>
  <si>
    <t>2025|2025-11-08</t>
  </si>
  <si>
    <t>2025|2025-11-09</t>
  </si>
  <si>
    <t>2025|2025-11-10</t>
  </si>
  <si>
    <t>2025|2025-11-11</t>
  </si>
  <si>
    <t>2025|2025-11-12</t>
  </si>
  <si>
    <t>2025|2025-11-13</t>
  </si>
  <si>
    <t>2025|2025-11-14</t>
  </si>
  <si>
    <t>2025|2025-11-15</t>
  </si>
  <si>
    <t>2025|2025-11-16</t>
  </si>
  <si>
    <t>2025|2025-11-17</t>
  </si>
  <si>
    <t>2025|2025-11-18</t>
  </si>
  <si>
    <t>2025|2025-11-19</t>
  </si>
  <si>
    <t>2025|2025-11-20</t>
  </si>
  <si>
    <t>2025|2025-11-21</t>
  </si>
  <si>
    <t>2025|2025-11-22</t>
  </si>
  <si>
    <t>2025|2025-11-23</t>
  </si>
  <si>
    <t>2025|2025-11-24</t>
  </si>
  <si>
    <t>2025|2025-11-25</t>
  </si>
  <si>
    <t>2025|2025-11-26</t>
  </si>
  <si>
    <t>2025|2025-11-27</t>
  </si>
  <si>
    <t>2025|2025-11-28</t>
  </si>
  <si>
    <t>2025|2025-11-29</t>
  </si>
  <si>
    <t>2025|2025-12-02</t>
  </si>
  <si>
    <t>décembre</t>
  </si>
  <si>
    <t>2025|2025-12-03</t>
  </si>
  <si>
    <t>2025|2025-12-04</t>
  </si>
  <si>
    <t>2025|2025-12-05</t>
  </si>
  <si>
    <t>2025|2025-12-06</t>
  </si>
  <si>
    <t>2025|2025-12-07</t>
  </si>
  <si>
    <t>2025|2025-12-08</t>
  </si>
  <si>
    <t>2025|2025-12-09</t>
  </si>
  <si>
    <t>2025|2025-12-10</t>
  </si>
  <si>
    <t>2025|2025-12-11</t>
  </si>
  <si>
    <t>2025|2025-12-12</t>
  </si>
  <si>
    <t>2025|2025-12-13</t>
  </si>
  <si>
    <t>2025|2025-12-14</t>
  </si>
  <si>
    <t>2025|2025-12-15</t>
  </si>
  <si>
    <t>2025|2025-12-16</t>
  </si>
  <si>
    <t>2024|2024-01-01</t>
  </si>
  <si>
    <t>2024|2024-01-02</t>
  </si>
  <si>
    <t>2024|2024-01-03</t>
  </si>
  <si>
    <t>2024|2024-01-04</t>
  </si>
  <si>
    <t>2024|2024-01-05</t>
  </si>
  <si>
    <t>2024|2024-01-06</t>
  </si>
  <si>
    <t>2024|2024-01-07</t>
  </si>
  <si>
    <t>2024|2024-01-08</t>
  </si>
  <si>
    <t>2024|2024-01-09</t>
  </si>
  <si>
    <t>2024|2024-01-10</t>
  </si>
  <si>
    <t>2024|2024-01-11</t>
  </si>
  <si>
    <t>2024|2024-01-12</t>
  </si>
  <si>
    <t>2024|2024-01-13</t>
  </si>
  <si>
    <t>2024|2024-01-14</t>
  </si>
  <si>
    <t>2024|2024-01-15</t>
  </si>
  <si>
    <t>2024|2024-01-16</t>
  </si>
  <si>
    <t>2024|2024-01-17</t>
  </si>
  <si>
    <t>2024|2024-01-18</t>
  </si>
  <si>
    <t>2024|2024-01-19</t>
  </si>
  <si>
    <t>2024|2024-01-20</t>
  </si>
  <si>
    <t>2024|2024-01-21</t>
  </si>
  <si>
    <t>2024|2024-01-22</t>
  </si>
  <si>
    <t>2024|2024-01-23</t>
  </si>
  <si>
    <t>2024|2024-01-24</t>
  </si>
  <si>
    <t>2024|2024-01-25</t>
  </si>
  <si>
    <t>2024|2024-01-26</t>
  </si>
  <si>
    <t>2024|2024-01-27</t>
  </si>
  <si>
    <t>2024|2024-01-28</t>
  </si>
  <si>
    <t>2024|2024-01-29</t>
  </si>
  <si>
    <t>2024|2024-01-30</t>
  </si>
  <si>
    <t>2024|2024-01-31</t>
  </si>
  <si>
    <t>2024|2024-02-01</t>
  </si>
  <si>
    <t>2024|2024-02-02</t>
  </si>
  <si>
    <t>2024|2024-02-03</t>
  </si>
  <si>
    <t>2024|2024-02-04</t>
  </si>
  <si>
    <t>2024|2024-02-05</t>
  </si>
  <si>
    <t>2024|2024-02-06</t>
  </si>
  <si>
    <t>2024|2024-02-07</t>
  </si>
  <si>
    <t>2024|2024-02-08</t>
  </si>
  <si>
    <t>2024|2024-02-09</t>
  </si>
  <si>
    <t>2024|2024-02-10</t>
  </si>
  <si>
    <t>2024|2024-02-11</t>
  </si>
  <si>
    <t>2024|2024-02-12</t>
  </si>
  <si>
    <t>2024|2024-02-13</t>
  </si>
  <si>
    <t>2024|2024-02-14</t>
  </si>
  <si>
    <t>2024|2024-02-15</t>
  </si>
  <si>
    <t>2024|2024-02-16</t>
  </si>
  <si>
    <t>2024|2024-02-17</t>
  </si>
  <si>
    <t>2024|2024-02-18</t>
  </si>
  <si>
    <t>2024|2024-02-19</t>
  </si>
  <si>
    <t>2024|2024-02-20</t>
  </si>
  <si>
    <t>2024|2024-02-21</t>
  </si>
  <si>
    <t>2024|2024-02-22</t>
  </si>
  <si>
    <t>2024|2024-02-23</t>
  </si>
  <si>
    <t>2024|2024-02-24</t>
  </si>
  <si>
    <t>2024|2024-02-25</t>
  </si>
  <si>
    <t>2024|2024-02-26</t>
  </si>
  <si>
    <t>2024|2024-02-27</t>
  </si>
  <si>
    <t>2024|2024-02-28</t>
  </si>
  <si>
    <t>2024|2024-02-29</t>
  </si>
  <si>
    <t>2024|2024-03-01</t>
  </si>
  <si>
    <t>2024|2024-03-02</t>
  </si>
  <si>
    <t>2024|2024-03-03</t>
  </si>
  <si>
    <t>2024|2024-03-04</t>
  </si>
  <si>
    <t>2024|2024-03-05</t>
  </si>
  <si>
    <t>2024|2024-03-06</t>
  </si>
  <si>
    <t>2024|2024-03-07</t>
  </si>
  <si>
    <t>2024|2024-03-08</t>
  </si>
  <si>
    <t>2024|2024-03-09</t>
  </si>
  <si>
    <t>2024|2024-03-10</t>
  </si>
  <si>
    <t>2024|2024-03-11</t>
  </si>
  <si>
    <t>2024|2024-03-12</t>
  </si>
  <si>
    <t>2024|2024-03-13</t>
  </si>
  <si>
    <t>2024|2024-03-14</t>
  </si>
  <si>
    <t>2024|2024-03-15</t>
  </si>
  <si>
    <t>2024|2024-03-16</t>
  </si>
  <si>
    <t>2024|2024-03-17</t>
  </si>
  <si>
    <t>2024|2024-03-18</t>
  </si>
  <si>
    <t>2024|2024-03-19</t>
  </si>
  <si>
    <t>2024|2024-03-20</t>
  </si>
  <si>
    <t>2024|2024-03-21</t>
  </si>
  <si>
    <t>2024|2024-03-22</t>
  </si>
  <si>
    <t>2024|2024-03-23</t>
  </si>
  <si>
    <t>2024|2024-03-24</t>
  </si>
  <si>
    <t>2024|2024-03-25</t>
  </si>
  <si>
    <t>2024|2024-03-26</t>
  </si>
  <si>
    <t>2024|2024-03-27</t>
  </si>
  <si>
    <t>2024|2024-03-28</t>
  </si>
  <si>
    <t>2024|2024-03-29</t>
  </si>
  <si>
    <t>2024|2024-03-30</t>
  </si>
  <si>
    <t>2024|2024-03-31</t>
  </si>
  <si>
    <t>2024|2024-04-01</t>
  </si>
  <si>
    <t>2024|2024-04-02</t>
  </si>
  <si>
    <t>2024|2024-04-03</t>
  </si>
  <si>
    <t>2024|2024-04-04</t>
  </si>
  <si>
    <t>2024|2024-04-05</t>
  </si>
  <si>
    <t>2024|2024-04-06</t>
  </si>
  <si>
    <t>2024|2024-04-07</t>
  </si>
  <si>
    <t>2024|2024-04-08</t>
  </si>
  <si>
    <t>2024|2024-04-09</t>
  </si>
  <si>
    <t>2024|2024-04-10</t>
  </si>
  <si>
    <t>2024|2024-04-11</t>
  </si>
  <si>
    <t>2024|2024-04-12</t>
  </si>
  <si>
    <t>2024|2024-04-13</t>
  </si>
  <si>
    <t>2024|2024-04-14</t>
  </si>
  <si>
    <t>2024|2024-04-15</t>
  </si>
  <si>
    <t>2024|2024-04-16</t>
  </si>
  <si>
    <t>2024|2024-04-17</t>
  </si>
  <si>
    <t>2024|2024-04-18</t>
  </si>
  <si>
    <t>2024|2024-04-19</t>
  </si>
  <si>
    <t>2024|2024-04-20</t>
  </si>
  <si>
    <t>2024|2024-04-21</t>
  </si>
  <si>
    <t>2024|2024-04-22</t>
  </si>
  <si>
    <t>2024|2024-04-23</t>
  </si>
  <si>
    <t>2024|2024-04-24</t>
  </si>
  <si>
    <t>2024|2024-04-25</t>
  </si>
  <si>
    <t>2024|2024-04-26</t>
  </si>
  <si>
    <t>2024|2024-04-27</t>
  </si>
  <si>
    <t>2024|2024-04-28</t>
  </si>
  <si>
    <t>2024|2024-04-29</t>
  </si>
  <si>
    <t>2024|2024-04-30</t>
  </si>
  <si>
    <t>2024|2024-05-01</t>
  </si>
  <si>
    <t>2024|2024-05-02</t>
  </si>
  <si>
    <t>2024|2024-05-03</t>
  </si>
  <si>
    <t>2024|2024-05-04</t>
  </si>
  <si>
    <t>2024|2024-05-05</t>
  </si>
  <si>
    <t>2024|2024-05-06</t>
  </si>
  <si>
    <t>2024|2024-05-07</t>
  </si>
  <si>
    <t>2024|2024-05-08</t>
  </si>
  <si>
    <t>2024|2024-05-09</t>
  </si>
  <si>
    <t>2024|2024-05-10</t>
  </si>
  <si>
    <t>2024|2024-05-11</t>
  </si>
  <si>
    <t>2024|2024-05-12</t>
  </si>
  <si>
    <t>2024|2024-05-13</t>
  </si>
  <si>
    <t>2024|2024-05-14</t>
  </si>
  <si>
    <t>2024|2024-05-15</t>
  </si>
  <si>
    <t>2024|2024-05-16</t>
  </si>
  <si>
    <t>2024|2024-05-17</t>
  </si>
  <si>
    <t>2024|2024-05-18</t>
  </si>
  <si>
    <t>2024|2024-05-19</t>
  </si>
  <si>
    <t>2024|2024-05-20</t>
  </si>
  <si>
    <t>2024|2024-05-21</t>
  </si>
  <si>
    <t>2024|2024-05-22</t>
  </si>
  <si>
    <t>2024|2024-05-23</t>
  </si>
  <si>
    <t>2024|2024-05-24</t>
  </si>
  <si>
    <t>2024|2024-05-25</t>
  </si>
  <si>
    <t>2024|2024-05-26</t>
  </si>
  <si>
    <t>2024|2024-05-27</t>
  </si>
  <si>
    <t>2024|2024-05-28</t>
  </si>
  <si>
    <t>2024|2024-05-29</t>
  </si>
  <si>
    <t>2024|2024-05-30</t>
  </si>
  <si>
    <t>2024|2024-05-31</t>
  </si>
  <si>
    <t>2024|2024-06-01</t>
  </si>
  <si>
    <t>2024|2024-06-02</t>
  </si>
  <si>
    <t>2024|2024-06-03</t>
  </si>
  <si>
    <t>2024|2024-06-04</t>
  </si>
  <si>
    <t>2024|2024-06-05</t>
  </si>
  <si>
    <t>2024|2024-06-06</t>
  </si>
  <si>
    <t>2024|2024-06-07</t>
  </si>
  <si>
    <t>2024|2024-06-08</t>
  </si>
  <si>
    <t>2024|2024-06-09</t>
  </si>
  <si>
    <t>2024|2024-06-10</t>
  </si>
  <si>
    <t>2024|2024-06-11</t>
  </si>
  <si>
    <t>2024|2024-06-12</t>
  </si>
  <si>
    <t>2024|2024-06-13</t>
  </si>
  <si>
    <t>2024|2024-06-14</t>
  </si>
  <si>
    <t>2024|2024-06-15</t>
  </si>
  <si>
    <t>2024|2024-06-16</t>
  </si>
  <si>
    <t>2024|2024-06-17</t>
  </si>
  <si>
    <t>2024|2024-06-18</t>
  </si>
  <si>
    <t>2024|2024-06-19</t>
  </si>
  <si>
    <t>2024|2024-06-20</t>
  </si>
  <si>
    <t>2024|2024-06-21</t>
  </si>
  <si>
    <t>2024|2024-06-22</t>
  </si>
  <si>
    <t>2024|2024-06-23</t>
  </si>
  <si>
    <t>2024|2024-06-24</t>
  </si>
  <si>
    <t>2024|2024-06-25</t>
  </si>
  <si>
    <t>2024|2024-06-26</t>
  </si>
  <si>
    <t>2024|2024-06-27</t>
  </si>
  <si>
    <t>2024|2024-06-28</t>
  </si>
  <si>
    <t>2024|2024-06-29</t>
  </si>
  <si>
    <t>2024|2024-06-30</t>
  </si>
  <si>
    <t>2024|2024-07-01</t>
  </si>
  <si>
    <t>2024|2024-07-04</t>
  </si>
  <si>
    <t>2024|2024-07-05</t>
  </si>
  <si>
    <t>2024|2024-07-06</t>
  </si>
  <si>
    <t>2024|2024-07-07</t>
  </si>
  <si>
    <t>2024|2024-07-08</t>
  </si>
  <si>
    <t>2024|2024-07-09</t>
  </si>
  <si>
    <t>2024|2024-07-10</t>
  </si>
  <si>
    <t>2024|2024-07-11</t>
  </si>
  <si>
    <t>2024|2024-07-12</t>
  </si>
  <si>
    <t>2024|2024-07-13</t>
  </si>
  <si>
    <t>2024|2024-07-14</t>
  </si>
  <si>
    <t>2024|2024-07-15</t>
  </si>
  <si>
    <t>2024|2024-07-16</t>
  </si>
  <si>
    <t>2024|2024-07-17</t>
  </si>
  <si>
    <t>2024|2024-07-18</t>
  </si>
  <si>
    <t>2024|2024-07-19</t>
  </si>
  <si>
    <t>2024|2024-07-20</t>
  </si>
  <si>
    <t>2024|2024-07-21</t>
  </si>
  <si>
    <t>2024|2024-07-22</t>
  </si>
  <si>
    <t>2024|2024-07-23</t>
  </si>
  <si>
    <t>2024|2024-07-24</t>
  </si>
  <si>
    <t>2024|2024-07-25</t>
  </si>
  <si>
    <t>2024|2024-07-26</t>
  </si>
  <si>
    <t>2024|2024-07-27</t>
  </si>
  <si>
    <t>2024|2024-07-28</t>
  </si>
  <si>
    <t>2024|2024-07-29</t>
  </si>
  <si>
    <t>2024|2024-07-30</t>
  </si>
  <si>
    <t>2024|2024-07-31</t>
  </si>
  <si>
    <t>2024|2024-08-01</t>
  </si>
  <si>
    <t>2024|2024-08-02</t>
  </si>
  <si>
    <t>2024|2024-08-03</t>
  </si>
  <si>
    <t>2024|2024-08-04</t>
  </si>
  <si>
    <t>2024|2024-08-05</t>
  </si>
  <si>
    <t>2024|2024-08-06</t>
  </si>
  <si>
    <t>2024|2024-08-07</t>
  </si>
  <si>
    <t>2024|2024-08-08</t>
  </si>
  <si>
    <t>2024|2024-08-09</t>
  </si>
  <si>
    <t>2024|2024-08-10</t>
  </si>
  <si>
    <t>2024|2024-08-11</t>
  </si>
  <si>
    <t>2024|2024-08-12</t>
  </si>
  <si>
    <t>2024|2024-08-13</t>
  </si>
  <si>
    <t>2024|2024-08-14</t>
  </si>
  <si>
    <t>2024|2024-08-15</t>
  </si>
  <si>
    <t>2024|2024-08-16</t>
  </si>
  <si>
    <t>2024|2024-08-17</t>
  </si>
  <si>
    <t>2024|2024-08-18</t>
  </si>
  <si>
    <t>2024|2024-08-19</t>
  </si>
  <si>
    <t>2024|2024-08-20</t>
  </si>
  <si>
    <t>2024|2024-08-21</t>
  </si>
  <si>
    <t>2024|2024-08-22</t>
  </si>
  <si>
    <t>2024|2024-08-23</t>
  </si>
  <si>
    <t>2024|2024-08-24</t>
  </si>
  <si>
    <t>2024|2024-08-25</t>
  </si>
  <si>
    <t>2024|2024-08-26</t>
  </si>
  <si>
    <t>2024|2024-08-27</t>
  </si>
  <si>
    <t>2024|2024-08-28</t>
  </si>
  <si>
    <t>2024|2024-08-29</t>
  </si>
  <si>
    <t>2024|2024-08-30</t>
  </si>
  <si>
    <t>2024|2024-08-31</t>
  </si>
  <si>
    <t>2024|2024-09-01</t>
  </si>
  <si>
    <t>2024|2024-09-02</t>
  </si>
  <si>
    <t>2024|2024-09-03</t>
  </si>
  <si>
    <t>2024|2024-09-04</t>
  </si>
  <si>
    <t>2024|2024-09-05</t>
  </si>
  <si>
    <t>2024|2024-09-06</t>
  </si>
  <si>
    <t>2024|2024-09-07</t>
  </si>
  <si>
    <t>2024|2024-09-08</t>
  </si>
  <si>
    <t>2024|2024-09-09</t>
  </si>
  <si>
    <t>2024|2024-09-10</t>
  </si>
  <si>
    <t>2024|2024-09-11</t>
  </si>
  <si>
    <t>2024|2024-09-12</t>
  </si>
  <si>
    <t>2024|2024-09-13</t>
  </si>
  <si>
    <t>2024|2024-09-14</t>
  </si>
  <si>
    <t>2024|2024-09-15</t>
  </si>
  <si>
    <t>2024|2024-09-16</t>
  </si>
  <si>
    <t>2024|2024-09-17</t>
  </si>
  <si>
    <t>2024|2024-09-18</t>
  </si>
  <si>
    <t>2024|2024-09-19</t>
  </si>
  <si>
    <t>2024|2024-09-20</t>
  </si>
  <si>
    <t>2024|2024-09-21</t>
  </si>
  <si>
    <t>2024|2024-09-22</t>
  </si>
  <si>
    <t>2024|2024-09-23</t>
  </si>
  <si>
    <t>2024|2024-09-24</t>
  </si>
  <si>
    <t>2024|2024-09-25</t>
  </si>
  <si>
    <t>2024|2024-09-26</t>
  </si>
  <si>
    <t>2024|2024-09-27</t>
  </si>
  <si>
    <t>2024|2024-09-28</t>
  </si>
  <si>
    <t>2024|2024-09-29</t>
  </si>
  <si>
    <t>2024|2024-09-30</t>
  </si>
  <si>
    <t>2024|2024-10-01</t>
  </si>
  <si>
    <t>2024|2024-10-02</t>
  </si>
  <si>
    <t>2024|2024-10-03</t>
  </si>
  <si>
    <t>2024|2024-10-04</t>
  </si>
  <si>
    <t>2024|2024-10-05</t>
  </si>
  <si>
    <t>2024|2024-10-06</t>
  </si>
  <si>
    <t>2024|2024-10-07</t>
  </si>
  <si>
    <t>2024|2024-10-08</t>
  </si>
  <si>
    <t>2024|2024-10-09</t>
  </si>
  <si>
    <t>2024|2024-10-10</t>
  </si>
  <si>
    <t>2024|2024-10-11</t>
  </si>
  <si>
    <t>2024|2024-10-12</t>
  </si>
  <si>
    <t>2024|2024-10-13</t>
  </si>
  <si>
    <t>2024|2024-10-14</t>
  </si>
  <si>
    <t>2024|2024-10-15</t>
  </si>
  <si>
    <t>2024|2024-10-16</t>
  </si>
  <si>
    <t>2024|2024-10-17</t>
  </si>
  <si>
    <t>2024|2024-10-18</t>
  </si>
  <si>
    <t>2024|2024-10-19</t>
  </si>
  <si>
    <t>2024|2024-10-20</t>
  </si>
  <si>
    <t>2024|2024-10-21</t>
  </si>
  <si>
    <t>2024|2024-10-22</t>
  </si>
  <si>
    <t>2024|2024-10-23</t>
  </si>
  <si>
    <t>2024|2024-10-24</t>
  </si>
  <si>
    <t>2024|2024-10-25</t>
  </si>
  <si>
    <t>2024|2024-10-26</t>
  </si>
  <si>
    <t>2024|2024-10-27</t>
  </si>
  <si>
    <t>2024|2024-10-28</t>
  </si>
  <si>
    <t>2024|2024-10-29</t>
  </si>
  <si>
    <t>2024|2024-10-30</t>
  </si>
  <si>
    <t>2024|2024-10-31</t>
  </si>
  <si>
    <t>2024|2024-11-01</t>
  </si>
  <si>
    <t>2024|2024-11-02</t>
  </si>
  <si>
    <t>2024|2024-11-03</t>
  </si>
  <si>
    <t>2024|2024-11-04</t>
  </si>
  <si>
    <t>2024|2024-11-05</t>
  </si>
  <si>
    <t>2024|2024-11-06</t>
  </si>
  <si>
    <t>2024|2024-11-07</t>
  </si>
  <si>
    <t>2024|2024-11-08</t>
  </si>
  <si>
    <t>2024|2024-11-09</t>
  </si>
  <si>
    <t>2024|2024-11-10</t>
  </si>
  <si>
    <t>2024|2024-11-11</t>
  </si>
  <si>
    <t>2024|2024-11-12</t>
  </si>
  <si>
    <t>2024|2024-11-13</t>
  </si>
  <si>
    <t>2024|2024-11-14</t>
  </si>
  <si>
    <t>2024|2024-11-15</t>
  </si>
  <si>
    <t>2024|2024-11-16</t>
  </si>
  <si>
    <t>2024|2024-11-17</t>
  </si>
  <si>
    <t>2024|2024-11-18</t>
  </si>
  <si>
    <t>2024|2024-11-19</t>
  </si>
  <si>
    <t>2024|2024-11-20</t>
  </si>
  <si>
    <t>2024|2024-11-21</t>
  </si>
  <si>
    <t>2024|2024-11-22</t>
  </si>
  <si>
    <t>2024|2024-11-23</t>
  </si>
  <si>
    <t>2024|2024-11-24</t>
  </si>
  <si>
    <t>2024|2024-11-25</t>
  </si>
  <si>
    <t>2024|2024-11-26</t>
  </si>
  <si>
    <t>2024|2024-11-27</t>
  </si>
  <si>
    <t>2024|2024-11-28</t>
  </si>
  <si>
    <t>2024|2024-11-29</t>
  </si>
  <si>
    <t>2024|2024-11-30</t>
  </si>
  <si>
    <t>2024|2024-12-01</t>
  </si>
  <si>
    <t>2024|2024-12-02</t>
  </si>
  <si>
    <t>2024|2024-12-03</t>
  </si>
  <si>
    <t>2024|2024-12-04</t>
  </si>
  <si>
    <t>2024|2024-12-05</t>
  </si>
  <si>
    <t>2024|2024-12-06</t>
  </si>
  <si>
    <t>2024|2024-12-07</t>
  </si>
  <si>
    <t>2024|2024-12-08</t>
  </si>
  <si>
    <t>2024|2024-12-09</t>
  </si>
  <si>
    <t>2024|2024-12-10</t>
  </si>
  <si>
    <t>2024|2024-12-11</t>
  </si>
  <si>
    <t>2024|2024-12-12</t>
  </si>
  <si>
    <t>2024|2024-12-13</t>
  </si>
  <si>
    <t>2024|2024-12-14</t>
  </si>
  <si>
    <t>2024|2024-12-15</t>
  </si>
  <si>
    <t>2024|2024-12-16</t>
  </si>
  <si>
    <t>2024|2024-12-17</t>
  </si>
  <si>
    <t>2024|2024-12-18</t>
  </si>
  <si>
    <t>2024|2024-12-19</t>
  </si>
  <si>
    <t>2024|2024-12-20</t>
  </si>
  <si>
    <t>2024|2024-12-21</t>
  </si>
  <si>
    <t>2024|2024-12-22</t>
  </si>
  <si>
    <t>2024|2024-12-23</t>
  </si>
  <si>
    <t>2024|2024-12-24</t>
  </si>
  <si>
    <t>2024|2024-12-25</t>
  </si>
  <si>
    <t>2024|2024-12-26</t>
  </si>
  <si>
    <t>2024|2024-12-27</t>
  </si>
  <si>
    <t>2024|2024-12-28</t>
  </si>
  <si>
    <t>2024|2024-12-29</t>
  </si>
  <si>
    <t>2024|2024-12-30</t>
  </si>
  <si>
    <t>2024|2024-12-31</t>
  </si>
  <si>
    <t>2025|2025-12-17</t>
  </si>
  <si>
    <t>2025|2025-12-18</t>
  </si>
  <si>
    <t>2025|2025-12-19</t>
  </si>
  <si>
    <t>PAR JOUR</t>
  </si>
  <si>
    <t>Évolution (€)</t>
  </si>
  <si>
    <t>Évolution (%)</t>
  </si>
  <si>
    <t>Nb Jours Travaillés</t>
  </si>
  <si>
    <t>CA</t>
  </si>
  <si>
    <t>Juillet</t>
  </si>
  <si>
    <t>Août</t>
  </si>
  <si>
    <t>Septembre</t>
  </si>
  <si>
    <t>Octobre</t>
  </si>
  <si>
    <t>Novembre</t>
  </si>
  <si>
    <t>Décembre</t>
  </si>
  <si>
    <t>Janvier</t>
  </si>
  <si>
    <t>Février</t>
  </si>
  <si>
    <t>Mars</t>
  </si>
  <si>
    <t>Avril</t>
  </si>
  <si>
    <t>Mai</t>
  </si>
  <si>
    <t>Juin</t>
  </si>
  <si>
    <t>TOTAL ANNUEL</t>
  </si>
  <si>
    <t>TOTAL MOIS</t>
  </si>
  <si>
    <t>CUMUL ANNUEL</t>
  </si>
  <si>
    <t>L'ATELIER DE VINCENT</t>
  </si>
  <si>
    <t>Tableau de Bord - Chiffre d'Affaires</t>
  </si>
  <si>
    <t>Dernière mise à jour : 22/12/2025</t>
  </si>
  <si>
    <t>NAVIGATION RAPIDE</t>
  </si>
  <si>
    <t>RAPPORTS MENSUELS</t>
  </si>
  <si>
    <t>Évol %</t>
  </si>
  <si>
    <t>Évol €</t>
  </si>
  <si>
    <t>📋 RÉSUMÉ MENSUEL</t>
  </si>
  <si>
    <t>MOYENNE CA/JOUR</t>
  </si>
  <si>
    <t>NB JOURS TRAVAILLES</t>
  </si>
  <si>
    <t>MOYENNE/MOIS</t>
  </si>
  <si>
    <t>MEILLEUR MOIS</t>
  </si>
  <si>
    <t>ÉVOLUTION / N-1</t>
  </si>
  <si>
    <t>CA TOTAL</t>
  </si>
  <si>
    <t>Mise à jour : 22/12/2025</t>
  </si>
  <si>
    <t>2022|2022-07-01</t>
  </si>
  <si>
    <t>2022|2022-07-05</t>
  </si>
  <si>
    <t>2022|2022-07-06</t>
  </si>
  <si>
    <t>2022|2022-07-07</t>
  </si>
  <si>
    <t>2022|2022-07-08</t>
  </si>
  <si>
    <t>2022|2022-07-09</t>
  </si>
  <si>
    <t>2022|2022-07-10</t>
  </si>
  <si>
    <t>2022|2022-07-11</t>
  </si>
  <si>
    <t>2022|2022-07-12</t>
  </si>
  <si>
    <t>2022|2022-07-13</t>
  </si>
  <si>
    <t>2022|2022-07-14</t>
  </si>
  <si>
    <t>2022|2022-07-15</t>
  </si>
  <si>
    <t>2022|2022-07-16</t>
  </si>
  <si>
    <t>2022|2022-07-17</t>
  </si>
  <si>
    <t>2022|2022-07-18</t>
  </si>
  <si>
    <t>2022|2022-07-19</t>
  </si>
  <si>
    <t>2022|2022-07-20</t>
  </si>
  <si>
    <t>2022|2022-07-21</t>
  </si>
  <si>
    <t>2022|2022-07-22</t>
  </si>
  <si>
    <t>2022|2022-07-23</t>
  </si>
  <si>
    <t>2022|2022-07-24</t>
  </si>
  <si>
    <t>2022|2022-07-25</t>
  </si>
  <si>
    <t>2022|2022-07-26</t>
  </si>
  <si>
    <t>2022|2022-07-27</t>
  </si>
  <si>
    <t>2022|2022-07-28</t>
  </si>
  <si>
    <t>2022|2022-07-29</t>
  </si>
  <si>
    <t>2022|2022-07-30</t>
  </si>
  <si>
    <t>2022|2022-07-31</t>
  </si>
  <si>
    <t>2022|2022-08-01</t>
  </si>
  <si>
    <t>2022|2022-08-02</t>
  </si>
  <si>
    <t>2022|2022-08-03</t>
  </si>
  <si>
    <t>2022|2022-08-04</t>
  </si>
  <si>
    <t>2022|2022-08-05</t>
  </si>
  <si>
    <t>2022|2022-08-06</t>
  </si>
  <si>
    <t>2022|2022-08-07</t>
  </si>
  <si>
    <t>2022|2022-08-08</t>
  </si>
  <si>
    <t>2022|2022-08-09</t>
  </si>
  <si>
    <t>2022|2022-08-10</t>
  </si>
  <si>
    <t>2022|2022-08-11</t>
  </si>
  <si>
    <t>2022|2022-08-12</t>
  </si>
  <si>
    <t>2022|2022-08-13</t>
  </si>
  <si>
    <t>2022|2022-08-14</t>
  </si>
  <si>
    <t>2022|2022-08-15</t>
  </si>
  <si>
    <t>2022|2022-08-16</t>
  </si>
  <si>
    <t>2022|2022-08-17</t>
  </si>
  <si>
    <t>2022|2022-08-18</t>
  </si>
  <si>
    <t>2022|2022-08-19</t>
  </si>
  <si>
    <t>2022|2022-08-20</t>
  </si>
  <si>
    <t>2022|2022-08-21</t>
  </si>
  <si>
    <t>2022|2022-08-22</t>
  </si>
  <si>
    <t>2022|2022-08-23</t>
  </si>
  <si>
    <t>2022|2022-08-24</t>
  </si>
  <si>
    <t>2022|2022-08-25</t>
  </si>
  <si>
    <t>2022|2022-08-26</t>
  </si>
  <si>
    <t>2022|2022-08-27</t>
  </si>
  <si>
    <t>2022|2022-08-28</t>
  </si>
  <si>
    <t>2022|2022-08-29</t>
  </si>
  <si>
    <t>2022|2022-08-30</t>
  </si>
  <si>
    <t>2022|2022-08-31</t>
  </si>
  <si>
    <t>2022|2022-09-01</t>
  </si>
  <si>
    <t>2022|2022-09-02</t>
  </si>
  <si>
    <t>2022|2022-09-03</t>
  </si>
  <si>
    <t>2022|2022-09-04</t>
  </si>
  <si>
    <t>2022|2022-09-05</t>
  </si>
  <si>
    <t>2022|2022-09-06</t>
  </si>
  <si>
    <t>2022|2022-09-07</t>
  </si>
  <si>
    <t>2022|2022-09-08</t>
  </si>
  <si>
    <t>2022|2022-09-09</t>
  </si>
  <si>
    <t>2022|2022-09-10</t>
  </si>
  <si>
    <t>2022|2022-09-11</t>
  </si>
  <si>
    <t>2022|2022-09-12</t>
  </si>
  <si>
    <t>2022|2022-09-13</t>
  </si>
  <si>
    <t>2022|2022-09-14</t>
  </si>
  <si>
    <t>2022|2022-09-15</t>
  </si>
  <si>
    <t>2022|2022-09-16</t>
  </si>
  <si>
    <t>2022|2022-09-17</t>
  </si>
  <si>
    <t>2022|2022-09-18</t>
  </si>
  <si>
    <t>2022|2022-09-19</t>
  </si>
  <si>
    <t>2022|2022-09-20</t>
  </si>
  <si>
    <t>2022|2022-09-21</t>
  </si>
  <si>
    <t>2022|2022-09-22</t>
  </si>
  <si>
    <t>2022|2022-09-23</t>
  </si>
  <si>
    <t>2022|2022-09-24</t>
  </si>
  <si>
    <t>2022|2022-09-25</t>
  </si>
  <si>
    <t>2022|2022-09-26</t>
  </si>
  <si>
    <t>2022|2022-09-27</t>
  </si>
  <si>
    <t>2022|2022-09-28</t>
  </si>
  <si>
    <t>2022|2022-09-29</t>
  </si>
  <si>
    <t>2022|2022-09-30</t>
  </si>
  <si>
    <t>2022|2022-10-01</t>
  </si>
  <si>
    <t>2022|2022-10-02</t>
  </si>
  <si>
    <t>2022|2022-10-03</t>
  </si>
  <si>
    <t>2022|2022-10-04</t>
  </si>
  <si>
    <t>2022|2022-10-05</t>
  </si>
  <si>
    <t>2022|2022-10-06</t>
  </si>
  <si>
    <t>2022|2022-10-07</t>
  </si>
  <si>
    <t>2022|2022-10-08</t>
  </si>
  <si>
    <t>2022|2022-10-09</t>
  </si>
  <si>
    <t>2022|2022-10-10</t>
  </si>
  <si>
    <t>2022|2022-10-11</t>
  </si>
  <si>
    <t>2022|2022-10-12</t>
  </si>
  <si>
    <t>2022|2022-10-13</t>
  </si>
  <si>
    <t>2022|2022-10-14</t>
  </si>
  <si>
    <t>2022|2022-10-15</t>
  </si>
  <si>
    <t>2022|2022-10-16</t>
  </si>
  <si>
    <t>2022|2022-10-17</t>
  </si>
  <si>
    <t>2022|2022-10-18</t>
  </si>
  <si>
    <t>2022|2022-10-19</t>
  </si>
  <si>
    <t>2022|2022-10-20</t>
  </si>
  <si>
    <t>2022|2022-10-21</t>
  </si>
  <si>
    <t>2022|2022-10-22</t>
  </si>
  <si>
    <t>2022|2022-10-23</t>
  </si>
  <si>
    <t>2022|2022-10-24</t>
  </si>
  <si>
    <t>2022|2022-10-25</t>
  </si>
  <si>
    <t>2022|2022-10-26</t>
  </si>
  <si>
    <t>2022|2022-10-27</t>
  </si>
  <si>
    <t>2022|2022-10-28</t>
  </si>
  <si>
    <t>2022|2022-10-29</t>
  </si>
  <si>
    <t>2022|2022-10-30</t>
  </si>
  <si>
    <t>2022|2022-10-31</t>
  </si>
  <si>
    <t>2022|2022-11-01</t>
  </si>
  <si>
    <t>2022|2022-11-02</t>
  </si>
  <si>
    <t>2022|2022-11-03</t>
  </si>
  <si>
    <t>2022|2022-11-04</t>
  </si>
  <si>
    <t>2022|2022-11-05</t>
  </si>
  <si>
    <t>2022|2022-11-06</t>
  </si>
  <si>
    <t>2022|2022-11-07</t>
  </si>
  <si>
    <t>2022|2022-11-08</t>
  </si>
  <si>
    <t>2022|2022-11-09</t>
  </si>
  <si>
    <t>2022|2022-11-10</t>
  </si>
  <si>
    <t>2022|2022-11-11</t>
  </si>
  <si>
    <t>2022|2022-11-12</t>
  </si>
  <si>
    <t>2022|2022-11-13</t>
  </si>
  <si>
    <t>2022|2022-11-14</t>
  </si>
  <si>
    <t>2022|2022-11-15</t>
  </si>
  <si>
    <t>2022|2022-11-16</t>
  </si>
  <si>
    <t>2022|2022-11-17</t>
  </si>
  <si>
    <t>2022|2022-11-18</t>
  </si>
  <si>
    <t>2022|2022-11-19</t>
  </si>
  <si>
    <t>2022|2022-11-20</t>
  </si>
  <si>
    <t>2022|2022-11-21</t>
  </si>
  <si>
    <t>2022|2022-11-22</t>
  </si>
  <si>
    <t>2022|2022-11-23</t>
  </si>
  <si>
    <t>2022|2022-11-24</t>
  </si>
  <si>
    <t>2022|2022-11-25</t>
  </si>
  <si>
    <t>2022|2022-11-26</t>
  </si>
  <si>
    <t>2022|2022-11-27</t>
  </si>
  <si>
    <t>2022|2022-11-28</t>
  </si>
  <si>
    <t>2022|2022-11-29</t>
  </si>
  <si>
    <t>2022|2022-11-30</t>
  </si>
  <si>
    <t>2022|2022-12-01</t>
  </si>
  <si>
    <t>2022|2022-12-02</t>
  </si>
  <si>
    <t>2022|2022-12-03</t>
  </si>
  <si>
    <t>2022|2022-12-04</t>
  </si>
  <si>
    <t>2022|2022-12-05</t>
  </si>
  <si>
    <t>2022|2022-12-06</t>
  </si>
  <si>
    <t>2022|2022-12-07</t>
  </si>
  <si>
    <t>2022|2022-12-08</t>
  </si>
  <si>
    <t>2022|2022-12-09</t>
  </si>
  <si>
    <t>2022|2022-12-10</t>
  </si>
  <si>
    <t>2022|2022-12-11</t>
  </si>
  <si>
    <t>2022|2022-12-12</t>
  </si>
  <si>
    <t>2022|2022-12-13</t>
  </si>
  <si>
    <t>2022|2022-12-14</t>
  </si>
  <si>
    <t>2022|2022-12-15</t>
  </si>
  <si>
    <t>2022|2022-12-16</t>
  </si>
  <si>
    <t>2022|2022-12-17</t>
  </si>
  <si>
    <t>2022|2022-12-18</t>
  </si>
  <si>
    <t>2022|2022-12-19</t>
  </si>
  <si>
    <t>2022|2022-12-20</t>
  </si>
  <si>
    <t>2022|2022-12-21</t>
  </si>
  <si>
    <t>2022|2022-12-22</t>
  </si>
  <si>
    <t>2022|2022-12-23</t>
  </si>
  <si>
    <t>2022|2022-12-24</t>
  </si>
  <si>
    <t>2022|2022-12-25</t>
  </si>
  <si>
    <t>2022|2022-12-26</t>
  </si>
  <si>
    <t>2022|2022-12-27</t>
  </si>
  <si>
    <t>2022|2022-12-28</t>
  </si>
  <si>
    <t>2022|2022-12-29</t>
  </si>
  <si>
    <t>2022|2022-12-30</t>
  </si>
  <si>
    <t>2022|2022-12-31</t>
  </si>
  <si>
    <t>2023|2023-01-04</t>
  </si>
  <si>
    <t>2023|2023-01-05</t>
  </si>
  <si>
    <t>2023|2023-01-06</t>
  </si>
  <si>
    <t>2023|2023-01-07</t>
  </si>
  <si>
    <t>2023|2023-01-08</t>
  </si>
  <si>
    <t>2023|2023-01-09</t>
  </si>
  <si>
    <t>2023|2023-01-03</t>
  </si>
  <si>
    <t>2023|2023-01-02</t>
  </si>
  <si>
    <t>2023|2023-01-01</t>
  </si>
  <si>
    <t>2023|2023-01-10</t>
  </si>
  <si>
    <t>2023|2023-01-11</t>
  </si>
  <si>
    <t>2023|2023-01-12</t>
  </si>
  <si>
    <t>2023|2023-01-13</t>
  </si>
  <si>
    <t>2023|2023-01-14</t>
  </si>
  <si>
    <t>2023|2023-01-15</t>
  </si>
  <si>
    <t>2023|2023-01-16</t>
  </si>
  <si>
    <t>2023|2023-01-17</t>
  </si>
  <si>
    <t>2023|2023-01-18</t>
  </si>
  <si>
    <t>2023|2023-01-19</t>
  </si>
  <si>
    <t>2023|2023-01-20</t>
  </si>
  <si>
    <t>2023|2023-01-21</t>
  </si>
  <si>
    <t>2023|2023-01-22</t>
  </si>
  <si>
    <t>2023|2023-01-23</t>
  </si>
  <si>
    <t>2023|2023-01-25</t>
  </si>
  <si>
    <t>2023|2023-01-26</t>
  </si>
  <si>
    <t>2023|2023-01-27</t>
  </si>
  <si>
    <t>2023|2023-01-28</t>
  </si>
  <si>
    <t>2023|2023-01-29</t>
  </si>
  <si>
    <t>2023|2023-01-30</t>
  </si>
  <si>
    <t>2023|2023-01-31</t>
  </si>
  <si>
    <t>2023|2023-01-24</t>
  </si>
  <si>
    <t>2023|2023-02-01</t>
  </si>
  <si>
    <t>2023|2023-02-02</t>
  </si>
  <si>
    <t>2023|2023-02-03</t>
  </si>
  <si>
    <t>2023|2023-02-04</t>
  </si>
  <si>
    <t>2023|2023-02-05</t>
  </si>
  <si>
    <t>2023|2023-02-06</t>
  </si>
  <si>
    <t>2023|2023-02-07</t>
  </si>
  <si>
    <t>2023|2023-02-08</t>
  </si>
  <si>
    <t>2023|2023-02-09</t>
  </si>
  <si>
    <t>2023|2023-02-10</t>
  </si>
  <si>
    <t>2023|2023-02-11</t>
  </si>
  <si>
    <t>2023|2023-02-12</t>
  </si>
  <si>
    <t>2023|2023-02-13</t>
  </si>
  <si>
    <t>2023|2023-02-14</t>
  </si>
  <si>
    <t>2023|2023-02-15</t>
  </si>
  <si>
    <t>2023|2023-02-16</t>
  </si>
  <si>
    <t>2023|2023-02-17</t>
  </si>
  <si>
    <t>2023|2023-02-18</t>
  </si>
  <si>
    <t>2023|2023-02-19</t>
  </si>
  <si>
    <t>2023|2023-02-20</t>
  </si>
  <si>
    <t>2023|2023-02-21</t>
  </si>
  <si>
    <t>2023|2023-02-22</t>
  </si>
  <si>
    <t>2023|2023-02-23</t>
  </si>
  <si>
    <t>2023|2023-02-24</t>
  </si>
  <si>
    <t>2023|2023-02-25</t>
  </si>
  <si>
    <t>2023|2023-02-26</t>
  </si>
  <si>
    <t>2023|2023-02-27</t>
  </si>
  <si>
    <t>2023|2023-02-28</t>
  </si>
  <si>
    <t>2023|2023-03-01</t>
  </si>
  <si>
    <t>2023|2023-03-02</t>
  </si>
  <si>
    <t>2023|2023-03-03</t>
  </si>
  <si>
    <t>2023|2023-03-04</t>
  </si>
  <si>
    <t>2023|2023-03-05</t>
  </si>
  <si>
    <t>2023|2023-03-06</t>
  </si>
  <si>
    <t>2023|2023-03-07</t>
  </si>
  <si>
    <t>2023|2023-03-08</t>
  </si>
  <si>
    <t>2023|2023-03-09</t>
  </si>
  <si>
    <t>2023|2023-03-10</t>
  </si>
  <si>
    <t>2023|2023-03-11</t>
  </si>
  <si>
    <t>2023|2023-03-12</t>
  </si>
  <si>
    <t>2023|2023-03-13</t>
  </si>
  <si>
    <t>2023|2023-03-14</t>
  </si>
  <si>
    <t>2023|2023-03-15</t>
  </si>
  <si>
    <t>2023|2023-03-16</t>
  </si>
  <si>
    <t>2023|2023-03-17</t>
  </si>
  <si>
    <t>2023|2023-03-18</t>
  </si>
  <si>
    <t>2023|2023-03-19</t>
  </si>
  <si>
    <t>2023|2023-03-20</t>
  </si>
  <si>
    <t>2023|2023-03-21</t>
  </si>
  <si>
    <t>2023|2023-03-22</t>
  </si>
  <si>
    <t>2023|2023-03-23</t>
  </si>
  <si>
    <t>2023|2023-03-24</t>
  </si>
  <si>
    <t>2023|2023-03-25</t>
  </si>
  <si>
    <t>2023|2023-03-26</t>
  </si>
  <si>
    <t>2023|2023-03-27</t>
  </si>
  <si>
    <t>2023|2023-03-28</t>
  </si>
  <si>
    <t>2023|2023-03-29</t>
  </si>
  <si>
    <t>2023|2023-03-30</t>
  </si>
  <si>
    <t>2023|2023-03-31</t>
  </si>
  <si>
    <t>2023|2023-04-01</t>
  </si>
  <si>
    <t>2023|2023-04-02</t>
  </si>
  <si>
    <t>2023|2023-04-03</t>
  </si>
  <si>
    <t>2023|2023-04-04</t>
  </si>
  <si>
    <t>2023|2023-04-05</t>
  </si>
  <si>
    <t>2023|2023-04-06</t>
  </si>
  <si>
    <t>2023|2023-04-07</t>
  </si>
  <si>
    <t>2023|2023-04-08</t>
  </si>
  <si>
    <t>2023|2023-04-09</t>
  </si>
  <si>
    <t>2023|2023-04-10</t>
  </si>
  <si>
    <t>2023|2023-04-11</t>
  </si>
  <si>
    <t>2023|2023-04-12</t>
  </si>
  <si>
    <t>2023|2023-04-13</t>
  </si>
  <si>
    <t>2023|2023-04-14</t>
  </si>
  <si>
    <t>2023|2023-04-15</t>
  </si>
  <si>
    <t>2023|2023-04-16</t>
  </si>
  <si>
    <t>2023|2023-04-17</t>
  </si>
  <si>
    <t>2023|2023-04-18</t>
  </si>
  <si>
    <t>2023|2023-04-19</t>
  </si>
  <si>
    <t>2023|2023-04-20</t>
  </si>
  <si>
    <t>2023|2023-04-21</t>
  </si>
  <si>
    <t>2023|2023-04-22</t>
  </si>
  <si>
    <t>2023|2023-04-23</t>
  </si>
  <si>
    <t>2023|2023-04-24</t>
  </si>
  <si>
    <t>2023|2023-04-25</t>
  </si>
  <si>
    <t>2023|2023-04-26</t>
  </si>
  <si>
    <t>2023|2023-04-27</t>
  </si>
  <si>
    <t>2023|2023-04-28</t>
  </si>
  <si>
    <t>2023|2023-04-29</t>
  </si>
  <si>
    <t>2023|2023-04-30</t>
  </si>
  <si>
    <t>2023|2023-05-01</t>
  </si>
  <si>
    <t>2023|2023-05-02</t>
  </si>
  <si>
    <t>2023|2023-05-03</t>
  </si>
  <si>
    <t>2023|2023-05-04</t>
  </si>
  <si>
    <t>2023|2023-05-05</t>
  </si>
  <si>
    <t>2023|2023-05-06</t>
  </si>
  <si>
    <t>2023|2023-05-07</t>
  </si>
  <si>
    <t>2023|2023-05-08</t>
  </si>
  <si>
    <t>2023|2023-05-09</t>
  </si>
  <si>
    <t>2023|2023-05-10</t>
  </si>
  <si>
    <t>2023|2023-05-11</t>
  </si>
  <si>
    <t>2023|2023-05-12</t>
  </si>
  <si>
    <t>2023|2023-05-13</t>
  </si>
  <si>
    <t>2023|2023-05-14</t>
  </si>
  <si>
    <t>2023|2023-05-15</t>
  </si>
  <si>
    <t>2023|2023-05-16</t>
  </si>
  <si>
    <t>2023|2023-05-17</t>
  </si>
  <si>
    <t>2023|2023-05-18</t>
  </si>
  <si>
    <t>2023|2023-05-19</t>
  </si>
  <si>
    <t>2023|2023-05-20</t>
  </si>
  <si>
    <t>2023|2023-05-21</t>
  </si>
  <si>
    <t>2023|2023-05-22</t>
  </si>
  <si>
    <t>2023|2023-05-23</t>
  </si>
  <si>
    <t>2023|2023-05-24</t>
  </si>
  <si>
    <t>2023|2023-05-25</t>
  </si>
  <si>
    <t>2023|2023-05-26</t>
  </si>
  <si>
    <t>2023|2023-05-27</t>
  </si>
  <si>
    <t>2023|2023-05-28</t>
  </si>
  <si>
    <t>2023|2023-05-29</t>
  </si>
  <si>
    <t>2023|2023-05-30</t>
  </si>
  <si>
    <t>2023|2023-05-31</t>
  </si>
  <si>
    <t>2023|2023-06-01</t>
  </si>
  <si>
    <t>2023|2023-06-02</t>
  </si>
  <si>
    <t>2023|2023-06-03</t>
  </si>
  <si>
    <t>2023|2023-06-04</t>
  </si>
  <si>
    <t>2023|2023-06-05</t>
  </si>
  <si>
    <t>2023|2023-06-06</t>
  </si>
  <si>
    <t>2023|2023-06-07</t>
  </si>
  <si>
    <t>2023|2023-06-08</t>
  </si>
  <si>
    <t>2023|2023-06-09</t>
  </si>
  <si>
    <t>2023|2023-06-10</t>
  </si>
  <si>
    <t>2023|2023-06-11</t>
  </si>
  <si>
    <t>2023|2023-06-12</t>
  </si>
  <si>
    <t>2023|2023-06-13</t>
  </si>
  <si>
    <t>2023|2023-06-14</t>
  </si>
  <si>
    <t>2023|2023-06-15</t>
  </si>
  <si>
    <t>2023|2023-06-16</t>
  </si>
  <si>
    <t>2023|2023-06-17</t>
  </si>
  <si>
    <t>2023|2023-06-18</t>
  </si>
  <si>
    <t>2023|2023-06-19</t>
  </si>
  <si>
    <t>2023|2023-06-20</t>
  </si>
  <si>
    <t>2023|2023-06-21</t>
  </si>
  <si>
    <t>2023|2023-06-22</t>
  </si>
  <si>
    <t>2023|2023-06-23</t>
  </si>
  <si>
    <t>2023|2023-06-24</t>
  </si>
  <si>
    <t>2023|2023-06-25</t>
  </si>
  <si>
    <t>2023|2023-06-26</t>
  </si>
  <si>
    <t>2023|2023-06-27</t>
  </si>
  <si>
    <t>2023|2023-06-28</t>
  </si>
  <si>
    <t>2023|2023-06-29</t>
  </si>
  <si>
    <t>2023|2023-06-30</t>
  </si>
  <si>
    <t>2023|2023-07-01</t>
  </si>
  <si>
    <t>2023|2023-07-02</t>
  </si>
  <si>
    <t>2023|2023-07-03</t>
  </si>
  <si>
    <t>2023|2023-07-04</t>
  </si>
  <si>
    <t>2023|2023-07-05</t>
  </si>
  <si>
    <t>2023|2023-07-06</t>
  </si>
  <si>
    <t>2023|2023-07-07</t>
  </si>
  <si>
    <t>2023|2023-07-08</t>
  </si>
  <si>
    <t>2023|2023-07-09</t>
  </si>
  <si>
    <t>2023|2023-07-10</t>
  </si>
  <si>
    <t>2023|2023-07-11</t>
  </si>
  <si>
    <t>2023|2023-07-12</t>
  </si>
  <si>
    <t>2023|2023-07-13</t>
  </si>
  <si>
    <t>2023|2023-07-14</t>
  </si>
  <si>
    <t>2023|2023-07-15</t>
  </si>
  <si>
    <t>2023|2023-07-16</t>
  </si>
  <si>
    <t>2023|2023-07-17</t>
  </si>
  <si>
    <t>2023|2023-07-18</t>
  </si>
  <si>
    <t>2023|2023-07-19</t>
  </si>
  <si>
    <t>2023|2023-07-20</t>
  </si>
  <si>
    <t>2023|2023-07-21</t>
  </si>
  <si>
    <t>2023|2023-07-22</t>
  </si>
  <si>
    <t>2023|2023-07-23</t>
  </si>
  <si>
    <t>2023|2023-07-24</t>
  </si>
  <si>
    <t>2023|2023-07-25</t>
  </si>
  <si>
    <t>2023|2023-07-26</t>
  </si>
  <si>
    <t>2023|2023-07-27</t>
  </si>
  <si>
    <t>2023|2023-07-28</t>
  </si>
  <si>
    <t>2023|2023-07-29</t>
  </si>
  <si>
    <t>2023|2023-07-30</t>
  </si>
  <si>
    <t>2023|2023-07-31</t>
  </si>
  <si>
    <t>2023|2023-08-01</t>
  </si>
  <si>
    <t>2023|2023-08-02</t>
  </si>
  <si>
    <t>2023|2023-08-03</t>
  </si>
  <si>
    <t>2023|2023-08-04</t>
  </si>
  <si>
    <t>2023|2023-08-05</t>
  </si>
  <si>
    <t>2023|2023-08-06</t>
  </si>
  <si>
    <t>2023|2023-08-07</t>
  </si>
  <si>
    <t>2023|2023-08-08</t>
  </si>
  <si>
    <t>2023|2023-08-09</t>
  </si>
  <si>
    <t>2023|2023-08-10</t>
  </si>
  <si>
    <t>2023|2023-08-11</t>
  </si>
  <si>
    <t>2023|2023-08-12</t>
  </si>
  <si>
    <t>2023|2023-08-13</t>
  </si>
  <si>
    <t>2023|2023-08-14</t>
  </si>
  <si>
    <t>2023|2023-08-15</t>
  </si>
  <si>
    <t>2023|2023-08-16</t>
  </si>
  <si>
    <t>2023|2023-08-17</t>
  </si>
  <si>
    <t>2023|2023-08-18</t>
  </si>
  <si>
    <t>2023|2023-08-19</t>
  </si>
  <si>
    <t>2023|2023-08-20</t>
  </si>
  <si>
    <t>2023|2023-08-21</t>
  </si>
  <si>
    <t>2023|2023-08-22</t>
  </si>
  <si>
    <t>2023|2023-08-23</t>
  </si>
  <si>
    <t>2023|2023-08-24</t>
  </si>
  <si>
    <t>2023|2023-08-25</t>
  </si>
  <si>
    <t>2023|2023-08-26</t>
  </si>
  <si>
    <t>2023|2023-08-27</t>
  </si>
  <si>
    <t>2023|2023-08-28</t>
  </si>
  <si>
    <t>2023|2023-08-29</t>
  </si>
  <si>
    <t>2023|2023-08-30</t>
  </si>
  <si>
    <t>2023|2023-08-31</t>
  </si>
  <si>
    <t>2023|2023-09-01</t>
  </si>
  <si>
    <t>2023|2023-09-02</t>
  </si>
  <si>
    <t>2023|2023-09-03</t>
  </si>
  <si>
    <t>2023|2023-09-04</t>
  </si>
  <si>
    <t>2023|2023-09-05</t>
  </si>
  <si>
    <t>2023|2023-09-06</t>
  </si>
  <si>
    <t>2023|2023-09-07</t>
  </si>
  <si>
    <t>2023|2023-09-08</t>
  </si>
  <si>
    <t>2023|2023-09-09</t>
  </si>
  <si>
    <t>2023|2023-09-10</t>
  </si>
  <si>
    <t>2023|2023-09-11</t>
  </si>
  <si>
    <t>2023|2023-09-12</t>
  </si>
  <si>
    <t>2023|2023-09-13</t>
  </si>
  <si>
    <t>2023|2023-09-14</t>
  </si>
  <si>
    <t>2023|2023-09-15</t>
  </si>
  <si>
    <t>2023|2023-09-16</t>
  </si>
  <si>
    <t>2023|2023-09-17</t>
  </si>
  <si>
    <t>2023|2023-09-18</t>
  </si>
  <si>
    <t>2023|2023-09-19</t>
  </si>
  <si>
    <t>2023|2023-09-20</t>
  </si>
  <si>
    <t>2023|2023-09-21</t>
  </si>
  <si>
    <t>2023|2023-09-22</t>
  </si>
  <si>
    <t>2023|2023-09-23</t>
  </si>
  <si>
    <t>2023|2023-09-24</t>
  </si>
  <si>
    <t>2023|2023-09-25</t>
  </si>
  <si>
    <t>2023|2023-09-26</t>
  </si>
  <si>
    <t>2023|2023-09-27</t>
  </si>
  <si>
    <t>2023|2023-09-28</t>
  </si>
  <si>
    <t>2023|2023-09-29</t>
  </si>
  <si>
    <t>2023|2023-09-30</t>
  </si>
  <si>
    <t>2023|2023-10-03</t>
  </si>
  <si>
    <t>2023|2023-10-04</t>
  </si>
  <si>
    <t>2023|2023-10-05</t>
  </si>
  <si>
    <t>2023|2023-10-06</t>
  </si>
  <si>
    <t>2023|2023-10-07</t>
  </si>
  <si>
    <t>2023|2023-10-08</t>
  </si>
  <si>
    <t>2023|2023-10-09</t>
  </si>
  <si>
    <t>2023|2023-10-10</t>
  </si>
  <si>
    <t>2023|2023-10-11</t>
  </si>
  <si>
    <t>2023|2023-10-12</t>
  </si>
  <si>
    <t>2023|2023-10-13</t>
  </si>
  <si>
    <t>2023|2023-10-14</t>
  </si>
  <si>
    <t>2023|2023-10-15</t>
  </si>
  <si>
    <t>2023|2023-10-16</t>
  </si>
  <si>
    <t>2023|2023-10-17</t>
  </si>
  <si>
    <t>2023|2023-10-18</t>
  </si>
  <si>
    <t>2023|2023-10-19</t>
  </si>
  <si>
    <t>2023|2023-10-20</t>
  </si>
  <si>
    <t>2023|2023-10-21</t>
  </si>
  <si>
    <t>2023|2023-10-22</t>
  </si>
  <si>
    <t>2023|2023-10-23</t>
  </si>
  <si>
    <t>2023|2023-10-24</t>
  </si>
  <si>
    <t>2023|2023-10-25</t>
  </si>
  <si>
    <t>2023|2023-10-26</t>
  </si>
  <si>
    <t>2023|2023-10-27</t>
  </si>
  <si>
    <t>2023|2023-10-28</t>
  </si>
  <si>
    <t>2023|2023-10-29</t>
  </si>
  <si>
    <t>2023|2023-10-30</t>
  </si>
  <si>
    <t>2023|2023-10-31</t>
  </si>
  <si>
    <t>2023|2023-11-01</t>
  </si>
  <si>
    <t>2023|2023-11-02</t>
  </si>
  <si>
    <t>2023|2023-11-03</t>
  </si>
  <si>
    <t>2023|2023-11-04</t>
  </si>
  <si>
    <t>2023|2023-11-05</t>
  </si>
  <si>
    <t>2023|2023-11-06</t>
  </si>
  <si>
    <t>2023|2023-11-07</t>
  </si>
  <si>
    <t>2023|2023-11-08</t>
  </si>
  <si>
    <t>2023|2023-11-09</t>
  </si>
  <si>
    <t>2023|2023-11-10</t>
  </si>
  <si>
    <t>2023|2023-11-11</t>
  </si>
  <si>
    <t>2023|2023-11-12</t>
  </si>
  <si>
    <t>2023|2023-11-13</t>
  </si>
  <si>
    <t>2023|2023-11-14</t>
  </si>
  <si>
    <t>2023|2023-11-15</t>
  </si>
  <si>
    <t>2023|2023-11-16</t>
  </si>
  <si>
    <t>2023|2023-11-17</t>
  </si>
  <si>
    <t>2023|2023-11-18</t>
  </si>
  <si>
    <t>2023|2023-11-19</t>
  </si>
  <si>
    <t>2023|2023-11-20</t>
  </si>
  <si>
    <t>2023|2023-11-21</t>
  </si>
  <si>
    <t>2023|2023-11-22</t>
  </si>
  <si>
    <t>2023|2023-11-23</t>
  </si>
  <si>
    <t>2023|2023-11-24</t>
  </si>
  <si>
    <t>2023|2023-11-25</t>
  </si>
  <si>
    <t>2023|2023-11-26</t>
  </si>
  <si>
    <t>2023|2023-11-27</t>
  </si>
  <si>
    <t>2023|2023-11-28</t>
  </si>
  <si>
    <t>2023|2023-11-29</t>
  </si>
  <si>
    <t>2023|2023-11-30</t>
  </si>
  <si>
    <t>2023|2023-12-01</t>
  </si>
  <si>
    <t>2023|2023-12-02</t>
  </si>
  <si>
    <t>2023|2023-12-03</t>
  </si>
  <si>
    <t>2023|2023-12-04</t>
  </si>
  <si>
    <t>2023|2023-12-05</t>
  </si>
  <si>
    <t>2023|2023-12-06</t>
  </si>
  <si>
    <t>2023|2023-12-07</t>
  </si>
  <si>
    <t>2023|2023-12-08</t>
  </si>
  <si>
    <t>2023|2023-12-09</t>
  </si>
  <si>
    <t>2023|2023-12-10</t>
  </si>
  <si>
    <t>2023|2023-12-11</t>
  </si>
  <si>
    <t>2023|2023-12-12</t>
  </si>
  <si>
    <t>2023|2023-12-13</t>
  </si>
  <si>
    <t>2023|2023-12-14</t>
  </si>
  <si>
    <t>2023|2023-12-15</t>
  </si>
  <si>
    <t>2023|2023-12-16</t>
  </si>
  <si>
    <t>2023|2023-12-17</t>
  </si>
  <si>
    <t>2023|2023-12-18</t>
  </si>
  <si>
    <t>2023|2023-12-19</t>
  </si>
  <si>
    <t>2023|2023-12-20</t>
  </si>
  <si>
    <t>2023|2023-12-21</t>
  </si>
  <si>
    <t>2023|2023-12-22</t>
  </si>
  <si>
    <t>2023|2023-12-23</t>
  </si>
  <si>
    <t>2023|2023-12-24</t>
  </si>
  <si>
    <t>2023|2023-12-25</t>
  </si>
  <si>
    <t>2023|2023-12-26</t>
  </si>
  <si>
    <t>2023|2023-12-27</t>
  </si>
  <si>
    <t>2023|2023-12-28</t>
  </si>
  <si>
    <t>2023|2023-12-29</t>
  </si>
  <si>
    <t>2023|2023-12-30</t>
  </si>
  <si>
    <t>2023|2023-12-31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</si>
  <si>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</si>
  <si>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</si>
  <si>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</si>
  <si>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</si>
  <si>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</si>
  <si>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</si>
  <si>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</si>
  <si>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</si>
  <si>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</si>
  <si>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</si>
  <si>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</si>
  <si>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</si>
  <si>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</si>
  <si>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</si>
  <si>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</si>
  <si>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</si>
  <si>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</si>
  <si>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</si>
  <si>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2019|2019-07-01</t>
  </si>
  <si>
    <t>2019|2019-07-02</t>
  </si>
  <si>
    <t>2019|2019-07-03</t>
  </si>
  <si>
    <t>2019|2019-07-04</t>
  </si>
  <si>
    <t>2019|2019-07-05</t>
  </si>
  <si>
    <t>2019|2019-07-06</t>
  </si>
  <si>
    <t>2019|2019-07-07</t>
  </si>
  <si>
    <t>2019|2019-07-08</t>
  </si>
  <si>
    <t>2019|2019-07-09</t>
  </si>
  <si>
    <t>2019|2019-07-10</t>
  </si>
  <si>
    <t>2019|2019-07-11</t>
  </si>
  <si>
    <t>2019|2019-07-12</t>
  </si>
  <si>
    <t>2019|2019-07-13</t>
  </si>
  <si>
    <t>2019|2019-07-14</t>
  </si>
  <si>
    <t>2019|2019-07-15</t>
  </si>
  <si>
    <t>2019|2019-07-16</t>
  </si>
  <si>
    <t>2019|2019-07-17</t>
  </si>
  <si>
    <t>2019|2019-07-18</t>
  </si>
  <si>
    <t>2019|2019-07-19</t>
  </si>
  <si>
    <t>2019|2019-07-20</t>
  </si>
  <si>
    <t>2019|2019-07-21</t>
  </si>
  <si>
    <t>2019|2019-07-22</t>
  </si>
  <si>
    <t>2019|2019-07-23</t>
  </si>
  <si>
    <t>2019|2019-07-24</t>
  </si>
  <si>
    <t>2019|2019-07-25</t>
  </si>
  <si>
    <t>2019|2019-07-26</t>
  </si>
  <si>
    <t>2019|2019-07-27</t>
  </si>
  <si>
    <t>2019|2019-07-28</t>
  </si>
  <si>
    <t>2019|2019-07-29</t>
  </si>
  <si>
    <t>2019|2019-07-30</t>
  </si>
  <si>
    <t>2019|2019-07-31</t>
  </si>
  <si>
    <t>2019|2019-08-01</t>
  </si>
  <si>
    <t>2019|2019-08-02</t>
  </si>
  <si>
    <t>2019|2019-08-03</t>
  </si>
  <si>
    <t>2019|2019-08-04</t>
  </si>
  <si>
    <t>2019|2019-08-05</t>
  </si>
  <si>
    <t>2019|2019-08-06</t>
  </si>
  <si>
    <t>2019|2019-08-07</t>
  </si>
  <si>
    <t>2019|2019-08-08</t>
  </si>
  <si>
    <t>2019|2019-08-09</t>
  </si>
  <si>
    <t>2019|2019-08-10</t>
  </si>
  <si>
    <t>2019|2019-08-11</t>
  </si>
  <si>
    <t>2019|2019-08-12</t>
  </si>
  <si>
    <t>2019|2019-08-13</t>
  </si>
  <si>
    <t>2019|2019-08-14</t>
  </si>
  <si>
    <t>2019|2019-08-15</t>
  </si>
  <si>
    <t>2019|2019-08-16</t>
  </si>
  <si>
    <t>2019|2019-08-17</t>
  </si>
  <si>
    <t>2019|2019-08-18</t>
  </si>
  <si>
    <t>2019|2019-08-19</t>
  </si>
  <si>
    <t>2019|2019-08-20</t>
  </si>
  <si>
    <t>2019|2019-08-21</t>
  </si>
  <si>
    <t>2019|2019-08-22</t>
  </si>
  <si>
    <t>2019|2019-08-23</t>
  </si>
  <si>
    <t>2019|2019-08-24</t>
  </si>
  <si>
    <t>2019|2019-08-25</t>
  </si>
  <si>
    <t>2019|2019-08-26</t>
  </si>
  <si>
    <t>2019|2019-08-27</t>
  </si>
  <si>
    <t>2019|2019-08-28</t>
  </si>
  <si>
    <t>2019|2019-08-29</t>
  </si>
  <si>
    <t>2019|2019-08-30</t>
  </si>
  <si>
    <t>2019|2019-08-31</t>
  </si>
  <si>
    <t>2019|2019-09-01</t>
  </si>
  <si>
    <t>2019|2019-09-02</t>
  </si>
  <si>
    <t>2019|2019-09-03</t>
  </si>
  <si>
    <t>2019|2019-09-04</t>
  </si>
  <si>
    <t>2019|2019-09-05</t>
  </si>
  <si>
    <t>2019|2019-09-06</t>
  </si>
  <si>
    <t>2019|2019-09-07</t>
  </si>
  <si>
    <t>2019|2019-09-08</t>
  </si>
  <si>
    <t>2019|2019-09-09</t>
  </si>
  <si>
    <t>2019|2019-09-10</t>
  </si>
  <si>
    <t>2019|2019-09-11</t>
  </si>
  <si>
    <t>2019|2019-09-12</t>
  </si>
  <si>
    <t>2019|2019-09-13</t>
  </si>
  <si>
    <t>2019|2019-09-14</t>
  </si>
  <si>
    <t>2019|2019-09-15</t>
  </si>
  <si>
    <t>2019|2019-09-16</t>
  </si>
  <si>
    <t>2019|2019-09-17</t>
  </si>
  <si>
    <t>2019|2019-09-18</t>
  </si>
  <si>
    <t>2019|2019-09-19</t>
  </si>
  <si>
    <t>2019|2019-09-20</t>
  </si>
  <si>
    <t>2019|2019-09-21</t>
  </si>
  <si>
    <t>2019|2019-09-22</t>
  </si>
  <si>
    <t>2019|2019-09-23</t>
  </si>
  <si>
    <t>2019|2019-09-24</t>
  </si>
  <si>
    <t>2019|2019-09-25</t>
  </si>
  <si>
    <t>2019|2019-09-26</t>
  </si>
  <si>
    <t>2019|2019-09-27</t>
  </si>
  <si>
    <t>2019|2019-09-28</t>
  </si>
  <si>
    <t>2019|2019-09-29</t>
  </si>
  <si>
    <t>2019|2019-09-30</t>
  </si>
  <si>
    <t>2019|2019-10-01</t>
  </si>
  <si>
    <t>2019|2019-10-02</t>
  </si>
  <si>
    <t>2019|2019-10-03</t>
  </si>
  <si>
    <t>2019|2019-10-04</t>
  </si>
  <si>
    <t>2019|2019-10-05</t>
  </si>
  <si>
    <t>2019|2019-10-06</t>
  </si>
  <si>
    <t>2019|2019-10-07</t>
  </si>
  <si>
    <t>2019|2019-10-08</t>
  </si>
  <si>
    <t>2019|2019-10-09</t>
  </si>
  <si>
    <t>2019|2019-10-10</t>
  </si>
  <si>
    <t>2019|2019-10-11</t>
  </si>
  <si>
    <t>2019|2019-10-12</t>
  </si>
  <si>
    <t>2019|2019-10-13</t>
  </si>
  <si>
    <t>2019|2019-10-14</t>
  </si>
  <si>
    <t>2019|2019-10-15</t>
  </si>
  <si>
    <t>2019|2019-10-16</t>
  </si>
  <si>
    <t>2019|2019-10-17</t>
  </si>
  <si>
    <t>2019|2019-10-18</t>
  </si>
  <si>
    <t>2019|2019-10-19</t>
  </si>
  <si>
    <t>2019|2019-10-20</t>
  </si>
  <si>
    <t>2019|2019-10-21</t>
  </si>
  <si>
    <t>2019|2019-10-22</t>
  </si>
  <si>
    <t>2019|2019-10-23</t>
  </si>
  <si>
    <t>2019|2019-10-24</t>
  </si>
  <si>
    <t>2019|2019-10-25</t>
  </si>
  <si>
    <t>2019|2019-10-26</t>
  </si>
  <si>
    <t>2019|2019-10-27</t>
  </si>
  <si>
    <t>2019|2019-10-28</t>
  </si>
  <si>
    <t>2019|2019-10-29</t>
  </si>
  <si>
    <t>2019|2019-10-30</t>
  </si>
  <si>
    <t>2019|2019-10-31</t>
  </si>
  <si>
    <t>2019|2019-11-01</t>
  </si>
  <si>
    <t>2019|2019-11-02</t>
  </si>
  <si>
    <t>2019|2019-11-03</t>
  </si>
  <si>
    <t>2019|2019-11-04</t>
  </si>
  <si>
    <t>2019|2019-11-05</t>
  </si>
  <si>
    <t>2019|2019-11-06</t>
  </si>
  <si>
    <t>2019|2019-11-07</t>
  </si>
  <si>
    <t>2019|2019-11-08</t>
  </si>
  <si>
    <t>2019|2019-11-09</t>
  </si>
  <si>
    <t>2019|2019-11-10</t>
  </si>
  <si>
    <t>2019|2019-11-11</t>
  </si>
  <si>
    <t>2019|2019-11-12</t>
  </si>
  <si>
    <t>2019|2019-11-13</t>
  </si>
  <si>
    <t>2019|2019-11-14</t>
  </si>
  <si>
    <t>2019|2019-11-15</t>
  </si>
  <si>
    <t>2019|2019-11-16</t>
  </si>
  <si>
    <t>2019|2019-11-17</t>
  </si>
  <si>
    <t>2019|2019-11-18</t>
  </si>
  <si>
    <t>2019|2019-11-19</t>
  </si>
  <si>
    <t>2019|2019-11-20</t>
  </si>
  <si>
    <t>2019|2019-11-21</t>
  </si>
  <si>
    <t>2019|2019-11-22</t>
  </si>
  <si>
    <t>2019|2019-11-23</t>
  </si>
  <si>
    <t>2019|2019-11-24</t>
  </si>
  <si>
    <t>2019|2019-11-25</t>
  </si>
  <si>
    <t>2019|2019-11-26</t>
  </si>
  <si>
    <t>2019|2019-11-27</t>
  </si>
  <si>
    <t>2019|2019-11-28</t>
  </si>
  <si>
    <t>2019|2019-11-29</t>
  </si>
  <si>
    <t>2019|2019-11-30</t>
  </si>
  <si>
    <t>2019|2019-12-01</t>
  </si>
  <si>
    <t>2019|2019-12-02</t>
  </si>
  <si>
    <t>2019|2019-12-03</t>
  </si>
  <si>
    <t>2019|2019-12-04</t>
  </si>
  <si>
    <t>2019|2019-12-05</t>
  </si>
  <si>
    <t>2019|2019-12-06</t>
  </si>
  <si>
    <t>2019|2019-12-07</t>
  </si>
  <si>
    <t>2019|2019-12-08</t>
  </si>
  <si>
    <t>2019|2019-12-09</t>
  </si>
  <si>
    <t>2019|2019-12-10</t>
  </si>
  <si>
    <t>2019|2019-12-11</t>
  </si>
  <si>
    <t>2019|2019-12-12</t>
  </si>
  <si>
    <t>2019|2019-12-13</t>
  </si>
  <si>
    <t>2019|2019-12-14</t>
  </si>
  <si>
    <t>2019|2019-12-15</t>
  </si>
  <si>
    <t>2019|2019-12-16</t>
  </si>
  <si>
    <t>2019|2019-12-17</t>
  </si>
  <si>
    <t>2019|2019-12-18</t>
  </si>
  <si>
    <t>2019|2019-12-19</t>
  </si>
  <si>
    <t>2019|2019-12-20</t>
  </si>
  <si>
    <t>2019|2019-12-21</t>
  </si>
  <si>
    <t>2019|2019-12-22</t>
  </si>
  <si>
    <t>2019|2019-12-23</t>
  </si>
  <si>
    <t>2019|2019-12-24</t>
  </si>
  <si>
    <t>2019|2019-12-25</t>
  </si>
  <si>
    <t>2019|2019-12-26</t>
  </si>
  <si>
    <t>2019|2019-12-27</t>
  </si>
  <si>
    <t>2019|2019-12-28</t>
  </si>
  <si>
    <t>2019|2019-12-29</t>
  </si>
  <si>
    <t>2019|2019-12-30</t>
  </si>
  <si>
    <t>2019|2019-12-31</t>
  </si>
  <si>
    <t>2020|2020-01-01</t>
  </si>
  <si>
    <t>2020|2020-01-02</t>
  </si>
  <si>
    <t>2020|2020-01-03</t>
  </si>
  <si>
    <t>2020|2020-01-04</t>
  </si>
  <si>
    <t>2020|2020-01-05</t>
  </si>
  <si>
    <t>2020|2020-01-06</t>
  </si>
  <si>
    <t>2020|2020-01-07</t>
  </si>
  <si>
    <t>2020|2020-01-08</t>
  </si>
  <si>
    <t>2020|2020-01-09</t>
  </si>
  <si>
    <t>2020|2020-01-10</t>
  </si>
  <si>
    <t>2020|2020-01-11</t>
  </si>
  <si>
    <t>2020|2020-01-12</t>
  </si>
  <si>
    <t>2020|2020-01-13</t>
  </si>
  <si>
    <t>2020|2020-01-14</t>
  </si>
  <si>
    <t>2020|2020-01-15</t>
  </si>
  <si>
    <t>2020|2020-01-16</t>
  </si>
  <si>
    <t>2020|2020-01-17</t>
  </si>
  <si>
    <t>2020|2020-01-18</t>
  </si>
  <si>
    <t>2020|2020-01-19</t>
  </si>
  <si>
    <t>2020|2020-01-20</t>
  </si>
  <si>
    <t>2020|2020-01-21</t>
  </si>
  <si>
    <t>2020|2020-01-22</t>
  </si>
  <si>
    <t>2020|2020-01-23</t>
  </si>
  <si>
    <t>2020|2020-01-24</t>
  </si>
  <si>
    <t>2020|2020-01-25</t>
  </si>
  <si>
    <t>2020|2020-01-26</t>
  </si>
  <si>
    <t>2020|2020-01-27</t>
  </si>
  <si>
    <t>2020|2020-01-28</t>
  </si>
  <si>
    <t>2020|2020-01-29</t>
  </si>
  <si>
    <t>2020|2020-01-30</t>
  </si>
  <si>
    <t>2020|2020-01-31</t>
  </si>
  <si>
    <t>2020|2020-02-01</t>
  </si>
  <si>
    <t>2020|2020-02-02</t>
  </si>
  <si>
    <t>2020|2020-02-03</t>
  </si>
  <si>
    <t>2020|2020-02-04</t>
  </si>
  <si>
    <t>2020|2020-02-05</t>
  </si>
  <si>
    <t>2020|2020-02-06</t>
  </si>
  <si>
    <t>2020|2020-02-07</t>
  </si>
  <si>
    <t>2020|2020-02-08</t>
  </si>
  <si>
    <t>2020|2020-02-09</t>
  </si>
  <si>
    <t>2020|2020-02-10</t>
  </si>
  <si>
    <t>2020|2020-02-11</t>
  </si>
  <si>
    <t>2020|2020-02-12</t>
  </si>
  <si>
    <t>2020|2020-02-13</t>
  </si>
  <si>
    <t>2020|2020-02-14</t>
  </si>
  <si>
    <t>2020|2020-02-15</t>
  </si>
  <si>
    <t>2020|2020-02-16</t>
  </si>
  <si>
    <t>2020|2020-02-17</t>
  </si>
  <si>
    <t>2020|2020-02-18</t>
  </si>
  <si>
    <t>2020|2020-02-19</t>
  </si>
  <si>
    <t>2020|2020-02-20</t>
  </si>
  <si>
    <t>2020|2020-02-21</t>
  </si>
  <si>
    <t>2020|2020-02-22</t>
  </si>
  <si>
    <t>2020|2020-02-23</t>
  </si>
  <si>
    <t>2020|2020-02-24</t>
  </si>
  <si>
    <t>2020|2020-02-25</t>
  </si>
  <si>
    <t>2020|2020-02-26</t>
  </si>
  <si>
    <t>2020|2020-02-27</t>
  </si>
  <si>
    <t>2020|2020-02-28</t>
  </si>
  <si>
    <t>2020|2020-02-29</t>
  </si>
  <si>
    <t>2020|2020-03-01</t>
  </si>
  <si>
    <t>2020|2020-03-02</t>
  </si>
  <si>
    <t>2020|2020-03-03</t>
  </si>
  <si>
    <t>2020|2020-03-04</t>
  </si>
  <si>
    <t>2020|2020-03-05</t>
  </si>
  <si>
    <t>2020|2020-03-06</t>
  </si>
  <si>
    <t>2020|2020-03-07</t>
  </si>
  <si>
    <t>2020|2020-03-08</t>
  </si>
  <si>
    <t>2020|2020-03-09</t>
  </si>
  <si>
    <t>2020|2020-03-10</t>
  </si>
  <si>
    <t>2020|2020-03-11</t>
  </si>
  <si>
    <t>2020|2020-03-12</t>
  </si>
  <si>
    <t>2020|2020-03-13</t>
  </si>
  <si>
    <t>2020|2020-03-14</t>
  </si>
  <si>
    <t>2020|2020-03-15</t>
  </si>
  <si>
    <t>2020|2020-03-16</t>
  </si>
  <si>
    <t>2020|2020-03-17</t>
  </si>
  <si>
    <t>2020|2020-03-18</t>
  </si>
  <si>
    <t>2020|2020-03-19</t>
  </si>
  <si>
    <t>2020|2020-03-20</t>
  </si>
  <si>
    <t>2020|2020-03-21</t>
  </si>
  <si>
    <t>2020|2020-03-22</t>
  </si>
  <si>
    <t>2020|2020-03-23</t>
  </si>
  <si>
    <t>2020|2020-03-24</t>
  </si>
  <si>
    <t>2020|2020-03-25</t>
  </si>
  <si>
    <t>2020|2020-03-26</t>
  </si>
  <si>
    <t>2020|2020-03-27</t>
  </si>
  <si>
    <t>2020|2020-03-28</t>
  </si>
  <si>
    <t>2020|2020-03-29</t>
  </si>
  <si>
    <t>2020|2020-03-30</t>
  </si>
  <si>
    <t>2020|2020-03-31</t>
  </si>
  <si>
    <t>2020|2020-04-01</t>
  </si>
  <si>
    <t>2020|2020-04-02</t>
  </si>
  <si>
    <t>2020|2020-04-03</t>
  </si>
  <si>
    <t>2020|2020-04-04</t>
  </si>
  <si>
    <t>2020|2020-04-05</t>
  </si>
  <si>
    <t>2020|2020-04-06</t>
  </si>
  <si>
    <t>2020|2020-04-07</t>
  </si>
  <si>
    <t>2020|2020-04-08</t>
  </si>
  <si>
    <t>2020|2020-04-09</t>
  </si>
  <si>
    <t>2020|2020-04-10</t>
  </si>
  <si>
    <t>2020|2020-04-11</t>
  </si>
  <si>
    <t>2020|2020-04-12</t>
  </si>
  <si>
    <t>2020|2020-04-13</t>
  </si>
  <si>
    <t>2020|2020-04-14</t>
  </si>
  <si>
    <t>2020|2020-04-15</t>
  </si>
  <si>
    <t>2020|2020-04-16</t>
  </si>
  <si>
    <t>2020|2020-04-17</t>
  </si>
  <si>
    <t>2020|2020-04-18</t>
  </si>
  <si>
    <t>2020|2020-04-19</t>
  </si>
  <si>
    <t>2020|2020-04-20</t>
  </si>
  <si>
    <t>2020|2020-04-21</t>
  </si>
  <si>
    <t>2020|2020-04-22</t>
  </si>
  <si>
    <t>2020|2020-04-23</t>
  </si>
  <si>
    <t>2020|2020-04-24</t>
  </si>
  <si>
    <t>2020|2020-04-25</t>
  </si>
  <si>
    <t>2020|2020-04-26</t>
  </si>
  <si>
    <t>2020|2020-04-27</t>
  </si>
  <si>
    <t>2020|2020-04-28</t>
  </si>
  <si>
    <t>2020|2020-04-29</t>
  </si>
  <si>
    <t>2020|2020-04-30</t>
  </si>
  <si>
    <t>2020|2020-05-11</t>
  </si>
  <si>
    <t>2020|2020-05-01</t>
  </si>
  <si>
    <t>2020|2020-05-02</t>
  </si>
  <si>
    <t>2020|2020-05-03</t>
  </si>
  <si>
    <t>2020|2020-05-04</t>
  </si>
  <si>
    <t>2020|2020-05-05</t>
  </si>
  <si>
    <t>2020|2020-05-06</t>
  </si>
  <si>
    <t>2020|2020-05-07</t>
  </si>
  <si>
    <t>2020|2020-05-08</t>
  </si>
  <si>
    <t>2020|2020-05-09</t>
  </si>
  <si>
    <t>2020|2020-05-10</t>
  </si>
  <si>
    <t>2020|2020-05-12</t>
  </si>
  <si>
    <t>2020|2020-05-13</t>
  </si>
  <si>
    <t>2020|2020-05-14</t>
  </si>
  <si>
    <t>2020|2020-05-15</t>
  </si>
  <si>
    <t>2020|2020-05-16</t>
  </si>
  <si>
    <t>2020|2020-05-17</t>
  </si>
  <si>
    <t>2020|2020-05-18</t>
  </si>
  <si>
    <t>2020|2020-05-19</t>
  </si>
  <si>
    <t>2020|2020-05-20</t>
  </si>
  <si>
    <t>2020|2020-05-21</t>
  </si>
  <si>
    <t>2020|2020-05-22</t>
  </si>
  <si>
    <t>2020|2020-05-23</t>
  </si>
  <si>
    <t>2020|2020-05-24</t>
  </si>
  <si>
    <t>2020|2020-05-25</t>
  </si>
  <si>
    <t>2020|2020-05-26</t>
  </si>
  <si>
    <t>2020|2020-05-27</t>
  </si>
  <si>
    <t>2020|2020-05-28</t>
  </si>
  <si>
    <t>2020|2020-05-29</t>
  </si>
  <si>
    <t>2020|2020-05-30</t>
  </si>
  <si>
    <t>2020|2020-05-31</t>
  </si>
  <si>
    <t>2020|2020-06-02</t>
  </si>
  <si>
    <t>2020|2020-06-03</t>
  </si>
  <si>
    <t>2020|2020-06-04</t>
  </si>
  <si>
    <t>2020|2020-06-05</t>
  </si>
  <si>
    <t>2020|2020-06-06</t>
  </si>
  <si>
    <t>2020|2020-06-07</t>
  </si>
  <si>
    <t>2020|2020-06-08</t>
  </si>
  <si>
    <t>2020|2020-06-09</t>
  </si>
  <si>
    <t>2020|2020-06-10</t>
  </si>
  <si>
    <t>2020|2020-06-11</t>
  </si>
  <si>
    <t>2020|2020-06-12</t>
  </si>
  <si>
    <t>2020|2020-06-13</t>
  </si>
  <si>
    <t>2020|2020-06-14</t>
  </si>
  <si>
    <t>2020|2020-06-15</t>
  </si>
  <si>
    <t>2020|2020-06-16</t>
  </si>
  <si>
    <t>2020|2020-06-17</t>
  </si>
  <si>
    <t>2020|2020-06-18</t>
  </si>
  <si>
    <t>2020|2020-06-19</t>
  </si>
  <si>
    <t>2020|2020-06-20</t>
  </si>
  <si>
    <t>2020|2020-06-21</t>
  </si>
  <si>
    <t>2020|2020-06-22</t>
  </si>
  <si>
    <t>2020|2020-06-23</t>
  </si>
  <si>
    <t>2020|2020-06-24</t>
  </si>
  <si>
    <t>2020|2020-06-25</t>
  </si>
  <si>
    <t>2020|2020-06-26</t>
  </si>
  <si>
    <t>2020|2020-06-27</t>
  </si>
  <si>
    <t>2020|2020-06-28</t>
  </si>
  <si>
    <t>2020|2020-06-29</t>
  </si>
  <si>
    <t>2020|2020-06-30</t>
  </si>
  <si>
    <t>2020|2020-07-01</t>
  </si>
  <si>
    <t>2020|2020-07-02</t>
  </si>
  <si>
    <t>2020|2020-07-03</t>
  </si>
  <si>
    <t>2020|2020-07-04</t>
  </si>
  <si>
    <t>2020|2020-07-05</t>
  </si>
  <si>
    <t>2020|2020-07-06</t>
  </si>
  <si>
    <t>2020|2020-07-07</t>
  </si>
  <si>
    <t>2020|2020-07-08</t>
  </si>
  <si>
    <t>2020|2020-07-09</t>
  </si>
  <si>
    <t>2020|2020-07-10</t>
  </si>
  <si>
    <t>2020|2020-07-11</t>
  </si>
  <si>
    <t>2020|2020-07-12</t>
  </si>
  <si>
    <t>2020|2020-07-13</t>
  </si>
  <si>
    <t>2020|2020-07-14</t>
  </si>
  <si>
    <t>2020|2020-07-15</t>
  </si>
  <si>
    <t>2020|2020-07-16</t>
  </si>
  <si>
    <t>2020|2020-07-17</t>
  </si>
  <si>
    <t>2020|2020-07-18</t>
  </si>
  <si>
    <t>2020|2020-07-19</t>
  </si>
  <si>
    <t>2020|2020-07-20</t>
  </si>
  <si>
    <t>2020|2020-07-21</t>
  </si>
  <si>
    <t>2020|2020-07-22</t>
  </si>
  <si>
    <t>2020|2020-07-23</t>
  </si>
  <si>
    <t>2020|2020-07-24</t>
  </si>
  <si>
    <t>2020|2020-07-25</t>
  </si>
  <si>
    <t>2020|2020-07-26</t>
  </si>
  <si>
    <t>2020|2020-07-27</t>
  </si>
  <si>
    <t>2020|2020-07-28</t>
  </si>
  <si>
    <t>2020|2020-07-29</t>
  </si>
  <si>
    <t>2020|2020-07-30</t>
  </si>
  <si>
    <t>2020|2020-07-31</t>
  </si>
  <si>
    <t>2020|2020-08-01</t>
  </si>
  <si>
    <t>2020|2020-08-02</t>
  </si>
  <si>
    <t>2020|2020-08-03</t>
  </si>
  <si>
    <t>2020|2020-08-04</t>
  </si>
  <si>
    <t>2020|2020-08-05</t>
  </si>
  <si>
    <t>2020|2020-08-06</t>
  </si>
  <si>
    <t>2020|2020-08-07</t>
  </si>
  <si>
    <t>2020|2020-08-08</t>
  </si>
  <si>
    <t>2020|2020-08-09</t>
  </si>
  <si>
    <t>2020|2020-08-10</t>
  </si>
  <si>
    <t>2020|2020-08-11</t>
  </si>
  <si>
    <t>2020|2020-08-12</t>
  </si>
  <si>
    <t>2020|2020-08-13</t>
  </si>
  <si>
    <t>2020|2020-08-14</t>
  </si>
  <si>
    <t>2020|2020-08-15</t>
  </si>
  <si>
    <t>2020|2020-08-16</t>
  </si>
  <si>
    <t>2020|2020-08-17</t>
  </si>
  <si>
    <t>2020|2020-08-18</t>
  </si>
  <si>
    <t>2020|2020-08-19</t>
  </si>
  <si>
    <t>2020|2020-08-20</t>
  </si>
  <si>
    <t>2020|2020-08-21</t>
  </si>
  <si>
    <t>2020|2020-08-22</t>
  </si>
  <si>
    <t>2020|2020-08-23</t>
  </si>
  <si>
    <t>2020|2020-08-24</t>
  </si>
  <si>
    <t>2020|2020-08-25</t>
  </si>
  <si>
    <t>2020|2020-08-26</t>
  </si>
  <si>
    <t>2020|2020-08-27</t>
  </si>
  <si>
    <t>2020|2020-08-28</t>
  </si>
  <si>
    <t>2020|2020-08-29</t>
  </si>
  <si>
    <t>2020|2020-08-30</t>
  </si>
  <si>
    <t>2020|2020-08-31</t>
  </si>
  <si>
    <t>2020|2020-09-01</t>
  </si>
  <si>
    <t>2020|2020-09-02</t>
  </si>
  <si>
    <t>2020|2020-09-03</t>
  </si>
  <si>
    <t>2020|2020-09-04</t>
  </si>
  <si>
    <t>2020|2020-09-05</t>
  </si>
  <si>
    <t>2020|2020-09-06</t>
  </si>
  <si>
    <t>2020|2020-09-07</t>
  </si>
  <si>
    <t>2020|2020-09-08</t>
  </si>
  <si>
    <t>2020|2020-09-09</t>
  </si>
  <si>
    <t>2020|2020-09-10</t>
  </si>
  <si>
    <t>2020|2020-09-11</t>
  </si>
  <si>
    <t>2020|2020-09-12</t>
  </si>
  <si>
    <t>2020|2020-09-13</t>
  </si>
  <si>
    <t>2020|2020-09-14</t>
  </si>
  <si>
    <t>2020|2020-09-15</t>
  </si>
  <si>
    <t>2020|2020-09-16</t>
  </si>
  <si>
    <t>2020|2020-09-17</t>
  </si>
  <si>
    <t>2020|2020-09-18</t>
  </si>
  <si>
    <t>2020|2020-09-19</t>
  </si>
  <si>
    <t>2020|2020-09-20</t>
  </si>
  <si>
    <t>2020|2020-09-21</t>
  </si>
  <si>
    <t>2020|2020-09-22</t>
  </si>
  <si>
    <t>2020|2020-09-23</t>
  </si>
  <si>
    <t>2020|2020-09-24</t>
  </si>
  <si>
    <t>2020|2020-09-25</t>
  </si>
  <si>
    <t>2020|2020-09-26</t>
  </si>
  <si>
    <t>2020|2020-09-27</t>
  </si>
  <si>
    <t>2020|2020-09-28</t>
  </si>
  <si>
    <t>2020|2020-09-29</t>
  </si>
  <si>
    <t>2020|2020-09-30</t>
  </si>
  <si>
    <t>2020|2020-10-01</t>
  </si>
  <si>
    <t>2020|2020-10-02</t>
  </si>
  <si>
    <t>2020|2020-10-03</t>
  </si>
  <si>
    <t>2020|2020-10-04</t>
  </si>
  <si>
    <t>2020|2020-10-05</t>
  </si>
  <si>
    <t>2020|2020-10-06</t>
  </si>
  <si>
    <t>2020|2020-10-07</t>
  </si>
  <si>
    <t>2020|2020-10-08</t>
  </si>
  <si>
    <t>2020|2020-10-09</t>
  </si>
  <si>
    <t>2020|2020-10-10</t>
  </si>
  <si>
    <t>2020|2020-10-11</t>
  </si>
  <si>
    <t>2020|2020-10-12</t>
  </si>
  <si>
    <t>2020|2020-10-13</t>
  </si>
  <si>
    <t>2020|2020-10-14</t>
  </si>
  <si>
    <t>2020|2020-10-15</t>
  </si>
  <si>
    <t>2020|2020-10-16</t>
  </si>
  <si>
    <t>2020|2020-10-17</t>
  </si>
  <si>
    <t>2020|2020-10-18</t>
  </si>
  <si>
    <t>2020|2020-10-19</t>
  </si>
  <si>
    <t>2020|2020-10-20</t>
  </si>
  <si>
    <t>2020|2020-10-21</t>
  </si>
  <si>
    <t>2020|2020-10-22</t>
  </si>
  <si>
    <t>2020|2020-10-23</t>
  </si>
  <si>
    <t>2020|2020-10-24</t>
  </si>
  <si>
    <t>2020|2020-10-25</t>
  </si>
  <si>
    <t>2020|2020-10-26</t>
  </si>
  <si>
    <t>2020|2020-10-27</t>
  </si>
  <si>
    <t>2020|2020-10-28</t>
  </si>
  <si>
    <t>2020|2020-10-29</t>
  </si>
  <si>
    <t>2020|2020-10-30</t>
  </si>
  <si>
    <t>2020|2020-10-31</t>
  </si>
  <si>
    <t>2020|2020-11-01</t>
  </si>
  <si>
    <t>2020|2020-11-02</t>
  </si>
  <si>
    <t>2020|2020-11-03</t>
  </si>
  <si>
    <t>2020|2020-11-04</t>
  </si>
  <si>
    <t>2020|2020-11-05</t>
  </si>
  <si>
    <t>2020|2020-11-06</t>
  </si>
  <si>
    <t>2020|2020-11-07</t>
  </si>
  <si>
    <t>2020|2020-11-08</t>
  </si>
  <si>
    <t>2020|2020-11-09</t>
  </si>
  <si>
    <t>2020|2020-11-10</t>
  </si>
  <si>
    <t>2020|2020-11-11</t>
  </si>
  <si>
    <t>2020|2020-11-12</t>
  </si>
  <si>
    <t>2020|2020-11-13</t>
  </si>
  <si>
    <t>2020|2020-11-14</t>
  </si>
  <si>
    <t>2020|2020-11-15</t>
  </si>
  <si>
    <t>2020|2020-11-16</t>
  </si>
  <si>
    <t>2020|2020-11-17</t>
  </si>
  <si>
    <t>2020|2020-11-18</t>
  </si>
  <si>
    <t>2020|2020-11-19</t>
  </si>
  <si>
    <t>2020|2020-11-20</t>
  </si>
  <si>
    <t>2020|2020-11-21</t>
  </si>
  <si>
    <t>2020|2020-11-22</t>
  </si>
  <si>
    <t>2020|2020-11-23</t>
  </si>
  <si>
    <t>2020|2020-11-24</t>
  </si>
  <si>
    <t>2020|2020-11-25</t>
  </si>
  <si>
    <t>2020|2020-11-26</t>
  </si>
  <si>
    <t>2020|2020-11-27</t>
  </si>
  <si>
    <t>2020|2020-11-28</t>
  </si>
  <si>
    <t>2020|2020-11-29</t>
  </si>
  <si>
    <t>2020|2020-11-30</t>
  </si>
  <si>
    <t>2020|2020-12-01</t>
  </si>
  <si>
    <t>2020|2020-12-02</t>
  </si>
  <si>
    <t>2020|2020-12-03</t>
  </si>
  <si>
    <t>2020|2020-12-04</t>
  </si>
  <si>
    <t>2020|2020-12-05</t>
  </si>
  <si>
    <t>2020|2020-12-06</t>
  </si>
  <si>
    <t>2020|2020-12-07</t>
  </si>
  <si>
    <t>2020|2020-12-08</t>
  </si>
  <si>
    <t>2020|2020-12-09</t>
  </si>
  <si>
    <t>2020|2020-12-10</t>
  </si>
  <si>
    <t>2020|2020-12-11</t>
  </si>
  <si>
    <t>2020|2020-12-12</t>
  </si>
  <si>
    <t>2020|2020-12-13</t>
  </si>
  <si>
    <t>2020|2020-12-14</t>
  </si>
  <si>
    <t>2020|2020-12-15</t>
  </si>
  <si>
    <t>2020|2020-12-16</t>
  </si>
  <si>
    <t>2020|2020-12-17</t>
  </si>
  <si>
    <t>2020|2020-12-18</t>
  </si>
  <si>
    <t>2020|2020-12-19</t>
  </si>
  <si>
    <t>2020|2020-12-22</t>
  </si>
  <si>
    <t>2020|2020-12-20</t>
  </si>
  <si>
    <t>2020|2020-12-21</t>
  </si>
  <si>
    <t>2020|2020-12-23</t>
  </si>
  <si>
    <t>2020|2020-12-24</t>
  </si>
  <si>
    <t>2020|2020-12-25</t>
  </si>
  <si>
    <t>2020|2020-12-26</t>
  </si>
  <si>
    <t>2020|2020-12-27</t>
  </si>
  <si>
    <t>2020|2020-12-28</t>
  </si>
  <si>
    <t>2020|2020-12-29</t>
  </si>
  <si>
    <t>2020|2020-12-30</t>
  </si>
  <si>
    <t>2020|2020-12-31</t>
  </si>
  <si>
    <t>2021|2021-01-01</t>
  </si>
  <si>
    <t>2021|2021-01-02</t>
  </si>
  <si>
    <t>2021|2021-01-03</t>
  </si>
  <si>
    <t>2021|2021-01-04</t>
  </si>
  <si>
    <t>2021|2021-01-05</t>
  </si>
  <si>
    <t>2021|2021-01-06</t>
  </si>
  <si>
    <t>2021|2021-01-07</t>
  </si>
  <si>
    <t>2021|2021-01-08</t>
  </si>
  <si>
    <t>2021|2021-01-09</t>
  </si>
  <si>
    <t>2021|2021-01-10</t>
  </si>
  <si>
    <t>2021|2021-01-11</t>
  </si>
  <si>
    <t>2021|2021-01-12</t>
  </si>
  <si>
    <t>2021|2021-01-13</t>
  </si>
  <si>
    <t>2021|2021-01-14</t>
  </si>
  <si>
    <t>2021|2021-01-15</t>
  </si>
  <si>
    <t>2021|2021-01-16</t>
  </si>
  <si>
    <t>2021|2021-01-17</t>
  </si>
  <si>
    <t>2021|2021-01-18</t>
  </si>
  <si>
    <t>2021|2021-01-19</t>
  </si>
  <si>
    <t>2021|2021-01-20</t>
  </si>
  <si>
    <t>2021|2021-01-21</t>
  </si>
  <si>
    <t>2021|2021-01-22</t>
  </si>
  <si>
    <t>2021|2021-01-23</t>
  </si>
  <si>
    <t>2021|2021-01-24</t>
  </si>
  <si>
    <t>2021|2021-01-25</t>
  </si>
  <si>
    <t>2021|2021-01-26</t>
  </si>
  <si>
    <t>2021|2021-01-27</t>
  </si>
  <si>
    <t>2021|2021-01-28</t>
  </si>
  <si>
    <t>2021|2021-01-29</t>
  </si>
  <si>
    <t>2021|2021-01-30</t>
  </si>
  <si>
    <t>2021|2021-01-31</t>
  </si>
  <si>
    <t>2021|2021-02-01</t>
  </si>
  <si>
    <t>2021|2021-02-02</t>
  </si>
  <si>
    <t>2021|2021-02-03</t>
  </si>
  <si>
    <t>2021|2021-02-04</t>
  </si>
  <si>
    <t>2021|2021-02-05</t>
  </si>
  <si>
    <t>2021|2021-02-06</t>
  </si>
  <si>
    <t>2021|2021-02-07</t>
  </si>
  <si>
    <t>2021|2021-02-08</t>
  </si>
  <si>
    <t>2021|2021-02-09</t>
  </si>
  <si>
    <t>2021|2021-02-10</t>
  </si>
  <si>
    <t>2021|2021-02-11</t>
  </si>
  <si>
    <t>2021|2021-02-12</t>
  </si>
  <si>
    <t>2021|2021-02-13</t>
  </si>
  <si>
    <t>2021|2021-02-14</t>
  </si>
  <si>
    <t>2021|2021-02-15</t>
  </si>
  <si>
    <t>2021|2021-02-16</t>
  </si>
  <si>
    <t>2021|2021-02-17</t>
  </si>
  <si>
    <t>2021|2021-02-18</t>
  </si>
  <si>
    <t>2021|2021-02-19</t>
  </si>
  <si>
    <t>2021|2021-02-20</t>
  </si>
  <si>
    <t>2021|2021-02-21</t>
  </si>
  <si>
    <t>2021|2021-02-22</t>
  </si>
  <si>
    <t>2021|2021-02-23</t>
  </si>
  <si>
    <t>2021|2021-02-24</t>
  </si>
  <si>
    <t>2021|2021-02-25</t>
  </si>
  <si>
    <t>2021|2021-02-26</t>
  </si>
  <si>
    <t>2021|2021-02-27</t>
  </si>
  <si>
    <t>2021|2021-02-28</t>
  </si>
  <si>
    <t>2021|2021-03-01</t>
  </si>
  <si>
    <t>2021|2021-03-02</t>
  </si>
  <si>
    <t>2021|2021-03-03</t>
  </si>
  <si>
    <t>2021|2021-03-04</t>
  </si>
  <si>
    <t>2021|2021-03-05</t>
  </si>
  <si>
    <t>2021|2021-03-06</t>
  </si>
  <si>
    <t>2021|2021-03-07</t>
  </si>
  <si>
    <t>2021|2021-03-08</t>
  </si>
  <si>
    <t>2021|2021-03-09</t>
  </si>
  <si>
    <t>2021|2021-03-10</t>
  </si>
  <si>
    <t>2021|2021-03-11</t>
  </si>
  <si>
    <t>2021|2021-03-12</t>
  </si>
  <si>
    <t>2021|2021-03-13</t>
  </si>
  <si>
    <t>2021|2021-03-14</t>
  </si>
  <si>
    <t>2021|2021-03-15</t>
  </si>
  <si>
    <t>2021|2021-03-16</t>
  </si>
  <si>
    <t>2021|2021-03-17</t>
  </si>
  <si>
    <t>2021|2021-03-18</t>
  </si>
  <si>
    <t>2021|2021-03-19</t>
  </si>
  <si>
    <t>2021|2021-03-20</t>
  </si>
  <si>
    <t>2021|2021-03-21</t>
  </si>
  <si>
    <t>2021|2021-03-22</t>
  </si>
  <si>
    <t>2021|2021-03-23</t>
  </si>
  <si>
    <t>2021|2021-03-24</t>
  </si>
  <si>
    <t>2021|2021-03-25</t>
  </si>
  <si>
    <t>2021|2021-03-26</t>
  </si>
  <si>
    <t>2021|2021-03-27</t>
  </si>
  <si>
    <t>2021|2021-03-28</t>
  </si>
  <si>
    <t>2021|2021-03-29</t>
  </si>
  <si>
    <t>2021|2021-03-30</t>
  </si>
  <si>
    <t>2021|2021-03-31</t>
  </si>
  <si>
    <t>2021|2021-04-01</t>
  </si>
  <si>
    <t>2021|2021-04-02</t>
  </si>
  <si>
    <t>2021|2021-04-03</t>
  </si>
  <si>
    <t>2021|2021-04-04</t>
  </si>
  <si>
    <t>2021|2021-04-05</t>
  </si>
  <si>
    <t>2021|2021-04-06</t>
  </si>
  <si>
    <t>2021|2021-04-07</t>
  </si>
  <si>
    <t>2021|2021-04-08</t>
  </si>
  <si>
    <t>2021|2021-04-09</t>
  </si>
  <si>
    <t>2021|2021-04-10</t>
  </si>
  <si>
    <t>2021|2021-04-11</t>
  </si>
  <si>
    <t>2021|2021-04-12</t>
  </si>
  <si>
    <t>2021|2021-04-13</t>
  </si>
  <si>
    <t>2021|2021-04-14</t>
  </si>
  <si>
    <t>2021|2021-04-15</t>
  </si>
  <si>
    <t>2021|2021-04-16</t>
  </si>
  <si>
    <t>2021|2021-04-17</t>
  </si>
  <si>
    <t>2021|2021-04-18</t>
  </si>
  <si>
    <t>2021|2021-04-19</t>
  </si>
  <si>
    <t>2021|2021-04-20</t>
  </si>
  <si>
    <t>2021|2021-04-21</t>
  </si>
  <si>
    <t>2021|2021-04-22</t>
  </si>
  <si>
    <t>2021|2021-04-23</t>
  </si>
  <si>
    <t>2021|2021-04-24</t>
  </si>
  <si>
    <t>2021|2021-04-25</t>
  </si>
  <si>
    <t>2021|2021-04-26</t>
  </si>
  <si>
    <t>2021|2021-04-27</t>
  </si>
  <si>
    <t>2021|2021-04-28</t>
  </si>
  <si>
    <t>2021|2021-04-29</t>
  </si>
  <si>
    <t>2021|2021-04-30</t>
  </si>
  <si>
    <t>2021|2021-05-01</t>
  </si>
  <si>
    <t>2021|2021-05-02</t>
  </si>
  <si>
    <t>2021|2021-05-03</t>
  </si>
  <si>
    <t>2021|2021-05-04</t>
  </si>
  <si>
    <t>2021|2021-05-05</t>
  </si>
  <si>
    <t>2021|2021-05-06</t>
  </si>
  <si>
    <t>2021|2021-05-07</t>
  </si>
  <si>
    <t>2021|2021-05-08</t>
  </si>
  <si>
    <t>2021|2021-05-09</t>
  </si>
  <si>
    <t>2021|2021-05-10</t>
  </si>
  <si>
    <t>2021|2021-05-11</t>
  </si>
  <si>
    <t>2021|2021-05-12</t>
  </si>
  <si>
    <t>2021|2021-05-13</t>
  </si>
  <si>
    <t>2021|2021-05-14</t>
  </si>
  <si>
    <t>2021|2021-05-15</t>
  </si>
  <si>
    <t>2021|2021-05-16</t>
  </si>
  <si>
    <t>2021|2021-05-17</t>
  </si>
  <si>
    <t>2021|2021-05-18</t>
  </si>
  <si>
    <t>2021|2021-05-19</t>
  </si>
  <si>
    <t>2021|2021-05-20</t>
  </si>
  <si>
    <t>2021|2021-05-21</t>
  </si>
  <si>
    <t>2021|2021-05-22</t>
  </si>
  <si>
    <t>2021|2021-05-23</t>
  </si>
  <si>
    <t>2021|2021-05-24</t>
  </si>
  <si>
    <t>2021|2021-05-25</t>
  </si>
  <si>
    <t>2021|2021-05-26</t>
  </si>
  <si>
    <t>2021|2021-05-27</t>
  </si>
  <si>
    <t>2021|2021-05-28</t>
  </si>
  <si>
    <t>2021|2021-05-29</t>
  </si>
  <si>
    <t>2021|2021-05-30</t>
  </si>
  <si>
    <t>2021|2021-05-31</t>
  </si>
  <si>
    <t>2021|2021-06-01</t>
  </si>
  <si>
    <t>2021|2021-06-02</t>
  </si>
  <si>
    <t>2021|2021-06-03</t>
  </si>
  <si>
    <t>2021|2021-06-04</t>
  </si>
  <si>
    <t>2021|2021-06-05</t>
  </si>
  <si>
    <t>2021|2021-06-06</t>
  </si>
  <si>
    <t>2021|2021-06-07</t>
  </si>
  <si>
    <t>2021|2021-06-08</t>
  </si>
  <si>
    <t>2021|2021-06-09</t>
  </si>
  <si>
    <t>2021|2021-06-10</t>
  </si>
  <si>
    <t>2021|2021-06-11</t>
  </si>
  <si>
    <t>2021|2021-06-12</t>
  </si>
  <si>
    <t>2021|2021-06-13</t>
  </si>
  <si>
    <t>2021|2021-06-14</t>
  </si>
  <si>
    <t>2021|2021-06-15</t>
  </si>
  <si>
    <t>2021|2021-06-16</t>
  </si>
  <si>
    <t>2021|2021-06-17</t>
  </si>
  <si>
    <t>2021|2021-06-18</t>
  </si>
  <si>
    <t>2021|2021-06-19</t>
  </si>
  <si>
    <t>2021|2021-06-20</t>
  </si>
  <si>
    <t>2021|2021-06-21</t>
  </si>
  <si>
    <t>2021|2021-06-22</t>
  </si>
  <si>
    <t>2021|2021-06-23</t>
  </si>
  <si>
    <t>2021|2021-06-24</t>
  </si>
  <si>
    <t>2021|2021-06-25</t>
  </si>
  <si>
    <t>2021|2021-06-26</t>
  </si>
  <si>
    <t>2021|2021-06-27</t>
  </si>
  <si>
    <t>2021|2021-06-28</t>
  </si>
  <si>
    <t>2021|2021-06-29</t>
  </si>
  <si>
    <t>2021|2021-06-30</t>
  </si>
  <si>
    <t>2021|2021-07-01</t>
  </si>
  <si>
    <t>2021|2021-07-02</t>
  </si>
  <si>
    <t>2021|2021-07-03</t>
  </si>
  <si>
    <t>2021|2021-07-04</t>
  </si>
  <si>
    <t>2021|2021-07-05</t>
  </si>
  <si>
    <t>2021|2021-07-06</t>
  </si>
  <si>
    <t>2021|2021-07-07</t>
  </si>
  <si>
    <t>2021|2021-07-08</t>
  </si>
  <si>
    <t>2021|2021-07-09</t>
  </si>
  <si>
    <t>2021|2021-07-10</t>
  </si>
  <si>
    <t>2021|2021-07-11</t>
  </si>
  <si>
    <t>2021|2021-07-12</t>
  </si>
  <si>
    <t>2021|2021-07-13</t>
  </si>
  <si>
    <t>2021|2021-07-14</t>
  </si>
  <si>
    <t>2021|2021-07-15</t>
  </si>
  <si>
    <t>2021|2021-07-16</t>
  </si>
  <si>
    <t>2021|2021-07-17</t>
  </si>
  <si>
    <t>2021|2021-07-18</t>
  </si>
  <si>
    <t>2021|2021-07-19</t>
  </si>
  <si>
    <t>2021|2021-07-20</t>
  </si>
  <si>
    <t>2021|2021-07-21</t>
  </si>
  <si>
    <t>2021|2021-07-22</t>
  </si>
  <si>
    <t>2021|2021-07-23</t>
  </si>
  <si>
    <t>2021|2021-07-24</t>
  </si>
  <si>
    <t>2021|2021-07-25</t>
  </si>
  <si>
    <t>2021|2021-07-26</t>
  </si>
  <si>
    <t>2021|2021-07-27</t>
  </si>
  <si>
    <t>2021|2021-07-28</t>
  </si>
  <si>
    <t>2021|2021-07-29</t>
  </si>
  <si>
    <t>2021|2021-07-30</t>
  </si>
  <si>
    <t>2021|2021-07-31</t>
  </si>
  <si>
    <t>2021|2021-08-01</t>
  </si>
  <si>
    <t>2021|2021-08-02</t>
  </si>
  <si>
    <t>2021|2021-08-03</t>
  </si>
  <si>
    <t>2021|2021-08-04</t>
  </si>
  <si>
    <t>2021|2021-08-05</t>
  </si>
  <si>
    <t>2021|2021-08-06</t>
  </si>
  <si>
    <t>2021|2021-08-07</t>
  </si>
  <si>
    <t>2021|2021-08-08</t>
  </si>
  <si>
    <t>2021|2021-08-09</t>
  </si>
  <si>
    <t>2021|2021-08-10</t>
  </si>
  <si>
    <t>2021|2021-08-11</t>
  </si>
  <si>
    <t>2021|2021-08-12</t>
  </si>
  <si>
    <t>2021|2021-08-13</t>
  </si>
  <si>
    <t>2021|2021-08-14</t>
  </si>
  <si>
    <t>2021|2021-08-15</t>
  </si>
  <si>
    <t>2021|2021-08-16</t>
  </si>
  <si>
    <t>2021|2021-08-17</t>
  </si>
  <si>
    <t>2021|2021-08-18</t>
  </si>
  <si>
    <t>2021|2021-08-19</t>
  </si>
  <si>
    <t>2021|2021-08-20</t>
  </si>
  <si>
    <t>2021|2021-08-21</t>
  </si>
  <si>
    <t>2021|2021-08-22</t>
  </si>
  <si>
    <t>2021|2021-08-23</t>
  </si>
  <si>
    <t>2021|2021-08-24</t>
  </si>
  <si>
    <t>2021|2021-08-25</t>
  </si>
  <si>
    <t>2021|2021-08-26</t>
  </si>
  <si>
    <t>2021|2021-08-27</t>
  </si>
  <si>
    <t>2021|2021-08-28</t>
  </si>
  <si>
    <t>2021|2021-08-29</t>
  </si>
  <si>
    <t>2021|2021-08-30</t>
  </si>
  <si>
    <t>2021|2021-08-31</t>
  </si>
  <si>
    <t>2021|2021-09-01</t>
  </si>
  <si>
    <t>2021|2021-09-02</t>
  </si>
  <si>
    <t>2021|2021-09-03</t>
  </si>
  <si>
    <t>2021|2021-09-04</t>
  </si>
  <si>
    <t>2021|2021-09-05</t>
  </si>
  <si>
    <t>2021|2021-09-06</t>
  </si>
  <si>
    <t>2021|2021-09-07</t>
  </si>
  <si>
    <t>2021|2021-09-08</t>
  </si>
  <si>
    <t>2021|2021-09-09</t>
  </si>
  <si>
    <t>2021|2021-09-10</t>
  </si>
  <si>
    <t>2021|2021-09-11</t>
  </si>
  <si>
    <t>2021|2021-09-12</t>
  </si>
  <si>
    <t>2021|2021-09-13</t>
  </si>
  <si>
    <t>2021|2021-09-14</t>
  </si>
  <si>
    <t>2021|2021-09-15</t>
  </si>
  <si>
    <t>2021|2021-09-16</t>
  </si>
  <si>
    <t>2021|2021-09-17</t>
  </si>
  <si>
    <t>2021|2021-09-18</t>
  </si>
  <si>
    <t>2021|2021-09-19</t>
  </si>
  <si>
    <t>2021|2021-09-20</t>
  </si>
  <si>
    <t>2021|2021-09-21</t>
  </si>
  <si>
    <t>2021|2021-09-22</t>
  </si>
  <si>
    <t>2021|2021-09-23</t>
  </si>
  <si>
    <t>2021|2021-09-24</t>
  </si>
  <si>
    <t>2021|2021-09-25</t>
  </si>
  <si>
    <t>2021|2021-09-26</t>
  </si>
  <si>
    <t>2021|2021-09-27</t>
  </si>
  <si>
    <t>2021|2021-09-28</t>
  </si>
  <si>
    <t>2021|2021-09-29</t>
  </si>
  <si>
    <t>2021|2021-09-30</t>
  </si>
  <si>
    <t>2021|2021-10-01</t>
  </si>
  <si>
    <t>2021|2021-10-02</t>
  </si>
  <si>
    <t>2021|2021-10-03</t>
  </si>
  <si>
    <t>2021|2021-10-04</t>
  </si>
  <si>
    <t>2021|2021-10-05</t>
  </si>
  <si>
    <t>2021|2021-10-06</t>
  </si>
  <si>
    <t>2021|2021-10-07</t>
  </si>
  <si>
    <t>2021|2021-10-08</t>
  </si>
  <si>
    <t>2021|2021-10-09</t>
  </si>
  <si>
    <t>2021|2021-10-10</t>
  </si>
  <si>
    <t>2021|2021-10-11</t>
  </si>
  <si>
    <t>2021|2021-10-12</t>
  </si>
  <si>
    <t>2021|2021-10-13</t>
  </si>
  <si>
    <t>2021|2021-10-14</t>
  </si>
  <si>
    <t>2021|2021-10-15</t>
  </si>
  <si>
    <t>2021|2021-10-16</t>
  </si>
  <si>
    <t>2021|2021-10-17</t>
  </si>
  <si>
    <t>2021|2021-10-18</t>
  </si>
  <si>
    <t>2021|2021-10-19</t>
  </si>
  <si>
    <t>2021|2021-10-20</t>
  </si>
  <si>
    <t>2021|2021-10-21</t>
  </si>
  <si>
    <t>2021|2021-10-22</t>
  </si>
  <si>
    <t>2021|2021-10-23</t>
  </si>
  <si>
    <t>2021|2021-10-24</t>
  </si>
  <si>
    <t>2021|2021-10-25</t>
  </si>
  <si>
    <t>2021|2021-10-26</t>
  </si>
  <si>
    <t>2021|2021-10-27</t>
  </si>
  <si>
    <t>2021|2021-10-28</t>
  </si>
  <si>
    <t>2021|2021-10-29</t>
  </si>
  <si>
    <t>2021|2021-10-30</t>
  </si>
  <si>
    <t>2021|2021-10-31</t>
  </si>
  <si>
    <t>2021|2021-11-02</t>
  </si>
  <si>
    <t>2021|2021-11-03</t>
  </si>
  <si>
    <t>2021|2021-11-04</t>
  </si>
  <si>
    <t>2021|2021-11-05</t>
  </si>
  <si>
    <t>2021|2021-11-06</t>
  </si>
  <si>
    <t>2021|2021-11-07</t>
  </si>
  <si>
    <t>2021|2021-11-08</t>
  </si>
  <si>
    <t>2021|2021-11-09</t>
  </si>
  <si>
    <t>2021|2021-11-10</t>
  </si>
  <si>
    <t>2021|2021-11-11</t>
  </si>
  <si>
    <t>2021|2021-11-12</t>
  </si>
  <si>
    <t>2021|2021-11-13</t>
  </si>
  <si>
    <t>2021|2021-11-14</t>
  </si>
  <si>
    <t>2021|2021-11-15</t>
  </si>
  <si>
    <t>2021|2021-11-16</t>
  </si>
  <si>
    <t>2021|2021-11-17</t>
  </si>
  <si>
    <t>2021|2021-11-18</t>
  </si>
  <si>
    <t>2021|2021-11-19</t>
  </si>
  <si>
    <t>2021|2021-11-20</t>
  </si>
  <si>
    <t>2021|2021-11-21</t>
  </si>
  <si>
    <t>2021|2021-11-22</t>
  </si>
  <si>
    <t>2021|2021-11-23</t>
  </si>
  <si>
    <t>2021|2021-11-24</t>
  </si>
  <si>
    <t>2021|2021-11-25</t>
  </si>
  <si>
    <t>2021|2021-11-26</t>
  </si>
  <si>
    <t>2021|2021-11-27</t>
  </si>
  <si>
    <t>2021|2021-11-28</t>
  </si>
  <si>
    <t>2021|2021-11-29</t>
  </si>
  <si>
    <t>2021|2021-11-30</t>
  </si>
  <si>
    <t>2021|2021-12-01</t>
  </si>
  <si>
    <t>2021|2021-12-02</t>
  </si>
  <si>
    <t>2021|2021-12-03</t>
  </si>
  <si>
    <t>2021|2021-12-04</t>
  </si>
  <si>
    <t>2021|2021-12-05</t>
  </si>
  <si>
    <t>2021|2021-12-06</t>
  </si>
  <si>
    <t>2021|2021-12-07</t>
  </si>
  <si>
    <t>2021|2021-12-08</t>
  </si>
  <si>
    <t>2021|2021-12-09</t>
  </si>
  <si>
    <t>2021|2021-12-10</t>
  </si>
  <si>
    <t>2021|2021-12-11</t>
  </si>
  <si>
    <t>2021|2021-12-12</t>
  </si>
  <si>
    <t>2021|2021-12-13</t>
  </si>
  <si>
    <t>2021|2021-12-14</t>
  </si>
  <si>
    <t>2021|2021-12-15</t>
  </si>
  <si>
    <t>2021|2021-12-16</t>
  </si>
  <si>
    <t>2021|2021-12-17</t>
  </si>
  <si>
    <t>2021|2021-12-18</t>
  </si>
  <si>
    <t>2021|2021-12-19</t>
  </si>
  <si>
    <t>2021|2021-12-20</t>
  </si>
  <si>
    <t>2021|2021-12-21</t>
  </si>
  <si>
    <t>2021|2021-12-22</t>
  </si>
  <si>
    <t>2021|2021-12-23</t>
  </si>
  <si>
    <t>2021|2021-12-24</t>
  </si>
  <si>
    <t>2021|2021-12-25</t>
  </si>
  <si>
    <t>2021|2021-12-26</t>
  </si>
  <si>
    <t>2021|2021-12-27</t>
  </si>
  <si>
    <t>2021|2021-12-28</t>
  </si>
  <si>
    <t>2021|2021-12-29</t>
  </si>
  <si>
    <t>2021|2021-12-30</t>
  </si>
  <si>
    <t>2021|2021-12-31</t>
  </si>
  <si>
    <t>2022|2022-01-01</t>
  </si>
  <si>
    <t>2022|2022-01-02</t>
  </si>
  <si>
    <t>2022|2022-01-03</t>
  </si>
  <si>
    <t>2022|2022-01-04</t>
  </si>
  <si>
    <t>2022|2022-01-05</t>
  </si>
  <si>
    <t>2022|2022-01-06</t>
  </si>
  <si>
    <t>2022|2022-01-07</t>
  </si>
  <si>
    <t>2022|2022-01-08</t>
  </si>
  <si>
    <t>2022|2022-01-09</t>
  </si>
  <si>
    <t>2022|2022-01-10</t>
  </si>
  <si>
    <t>2022|2022-01-11</t>
  </si>
  <si>
    <t>2022|2022-01-12</t>
  </si>
  <si>
    <t>2022|2022-01-13</t>
  </si>
  <si>
    <t>2022|2022-01-14</t>
  </si>
  <si>
    <t>2022|2022-01-15</t>
  </si>
  <si>
    <t>2022|2022-01-16</t>
  </si>
  <si>
    <t>2022|2022-01-17</t>
  </si>
  <si>
    <t>2022|2022-01-18</t>
  </si>
  <si>
    <t>2022|2022-01-19</t>
  </si>
  <si>
    <t>2022|2022-01-20</t>
  </si>
  <si>
    <t>2022|2022-01-21</t>
  </si>
  <si>
    <t>2022|2022-01-22</t>
  </si>
  <si>
    <t>2022|2022-01-23</t>
  </si>
  <si>
    <t>2022|2022-01-24</t>
  </si>
  <si>
    <t>2022|2022-01-25</t>
  </si>
  <si>
    <t>2022|2022-01-26</t>
  </si>
  <si>
    <t>2022|2022-01-27</t>
  </si>
  <si>
    <t>2022|2022-01-28</t>
  </si>
  <si>
    <t>2022|2022-01-29</t>
  </si>
  <si>
    <t>2022|2022-01-30</t>
  </si>
  <si>
    <t>2022|2022-01-31</t>
  </si>
  <si>
    <t>2022|2022-02-01</t>
  </si>
  <si>
    <t>2022|2022-02-02</t>
  </si>
  <si>
    <t>2022|2022-02-03</t>
  </si>
  <si>
    <t>2022|2022-02-04</t>
  </si>
  <si>
    <t>2022|2022-02-05</t>
  </si>
  <si>
    <t>2022|2022-02-06</t>
  </si>
  <si>
    <t>2022|2022-02-07</t>
  </si>
  <si>
    <t>2022|2022-02-08</t>
  </si>
  <si>
    <t>2022|2022-02-09</t>
  </si>
  <si>
    <t>2022|2022-02-10</t>
  </si>
  <si>
    <t>2022|2022-02-11</t>
  </si>
  <si>
    <t>2022|2022-02-12</t>
  </si>
  <si>
    <t>2022|2022-02-13</t>
  </si>
  <si>
    <t>2022|2022-02-14</t>
  </si>
  <si>
    <t>2022|2022-02-15</t>
  </si>
  <si>
    <t>2022|2022-02-16</t>
  </si>
  <si>
    <t>2022|2022-02-17</t>
  </si>
  <si>
    <t>2022|2022-02-18</t>
  </si>
  <si>
    <t>2022|2022-02-19</t>
  </si>
  <si>
    <t>2022|2022-02-20</t>
  </si>
  <si>
    <t>2022|2022-02-21</t>
  </si>
  <si>
    <t>2022|2022-02-22</t>
  </si>
  <si>
    <t>2022|2022-02-23</t>
  </si>
  <si>
    <t>2022|2022-02-24</t>
  </si>
  <si>
    <t>2022|2022-02-25</t>
  </si>
  <si>
    <t>2022|2022-02-26</t>
  </si>
  <si>
    <t>2022|2022-02-27</t>
  </si>
  <si>
    <t>2022|2022-02-28</t>
  </si>
  <si>
    <t>2022|2022-03-01</t>
  </si>
  <si>
    <t>2022|2022-03-02</t>
  </si>
  <si>
    <t>2022|2022-03-03</t>
  </si>
  <si>
    <t>2022|2022-03-04</t>
  </si>
  <si>
    <t>2022|2022-03-05</t>
  </si>
  <si>
    <t>2022|2022-03-06</t>
  </si>
  <si>
    <t>2022|2022-03-07</t>
  </si>
  <si>
    <t>2022|2022-03-08</t>
  </si>
  <si>
    <t>2022|2022-03-09</t>
  </si>
  <si>
    <t>2022|2022-03-10</t>
  </si>
  <si>
    <t>2022|2022-03-11</t>
  </si>
  <si>
    <t>2022|2022-03-12</t>
  </si>
  <si>
    <t>2022|2022-03-13</t>
  </si>
  <si>
    <t>2022|2022-03-14</t>
  </si>
  <si>
    <t>2022|2022-03-15</t>
  </si>
  <si>
    <t>2022|2022-03-16</t>
  </si>
  <si>
    <t>2022|2022-03-17</t>
  </si>
  <si>
    <t>2022|2022-03-18</t>
  </si>
  <si>
    <t>2022|2022-03-19</t>
  </si>
  <si>
    <t>2022|2022-03-20</t>
  </si>
  <si>
    <t>2022|2022-03-21</t>
  </si>
  <si>
    <t>2022|2022-03-22</t>
  </si>
  <si>
    <t>2022|2022-03-23</t>
  </si>
  <si>
    <t>2022|2022-03-24</t>
  </si>
  <si>
    <t>2022|2022-03-25</t>
  </si>
  <si>
    <t>2022|2022-03-26</t>
  </si>
  <si>
    <t>2022|2022-03-27</t>
  </si>
  <si>
    <t>2022|2022-03-28</t>
  </si>
  <si>
    <t>2022|2022-03-29</t>
  </si>
  <si>
    <t>2022|2022-03-30</t>
  </si>
  <si>
    <t>2022|2022-03-31</t>
  </si>
  <si>
    <t>2022|2022-04-01</t>
  </si>
  <si>
    <t>2022|2022-04-02</t>
  </si>
  <si>
    <t>2022|2022-04-03</t>
  </si>
  <si>
    <t>2022|2022-04-04</t>
  </si>
  <si>
    <t>2022|2022-04-05</t>
  </si>
  <si>
    <t>2022|2022-04-06</t>
  </si>
  <si>
    <t>2022|2022-04-07</t>
  </si>
  <si>
    <t>2022|2022-04-08</t>
  </si>
  <si>
    <t>2022|2022-04-09</t>
  </si>
  <si>
    <t>2022|2022-04-10</t>
  </si>
  <si>
    <t>2022|2022-04-11</t>
  </si>
  <si>
    <t>2022|2022-04-12</t>
  </si>
  <si>
    <t>2022|2022-04-13</t>
  </si>
  <si>
    <t>2022|2022-04-14</t>
  </si>
  <si>
    <t>2022|2022-04-15</t>
  </si>
  <si>
    <t>2022|2022-04-16</t>
  </si>
  <si>
    <t>2022|2022-04-17</t>
  </si>
  <si>
    <t>2022|2022-04-18</t>
  </si>
  <si>
    <t>2022|2022-04-19</t>
  </si>
  <si>
    <t>2022|2022-04-20</t>
  </si>
  <si>
    <t>2022|2022-04-21</t>
  </si>
  <si>
    <t>2022|2022-04-22</t>
  </si>
  <si>
    <t>2022|2022-04-23</t>
  </si>
  <si>
    <t>2022|2022-04-24</t>
  </si>
  <si>
    <t>2022|2022-04-25</t>
  </si>
  <si>
    <t>2022|2022-04-26</t>
  </si>
  <si>
    <t>2022|2022-04-27</t>
  </si>
  <si>
    <t>2022|2022-04-28</t>
  </si>
  <si>
    <t>2022|2022-04-29</t>
  </si>
  <si>
    <t>2022|2022-04-30</t>
  </si>
  <si>
    <t>2022|2022-05-01</t>
  </si>
  <si>
    <t>2022|2022-05-02</t>
  </si>
  <si>
    <t>2022|2022-05-03</t>
  </si>
  <si>
    <t>2022|2022-05-04</t>
  </si>
  <si>
    <t>2022|2022-05-05</t>
  </si>
  <si>
    <t>2022|2022-05-06</t>
  </si>
  <si>
    <t>2022|2022-05-07</t>
  </si>
  <si>
    <t>2022|2022-05-08</t>
  </si>
  <si>
    <t>2022|2022-05-09</t>
  </si>
  <si>
    <t>2022|2022-05-10</t>
  </si>
  <si>
    <t>2022|2022-05-11</t>
  </si>
  <si>
    <t>2022|2022-05-12</t>
  </si>
  <si>
    <t>2022|2022-05-13</t>
  </si>
  <si>
    <t>2022|2022-05-14</t>
  </si>
  <si>
    <t>2022|2022-05-15</t>
  </si>
  <si>
    <t>2022|2022-05-16</t>
  </si>
  <si>
    <t>2022|2022-05-17</t>
  </si>
  <si>
    <t>2022|2022-05-18</t>
  </si>
  <si>
    <t>2022|2022-05-19</t>
  </si>
  <si>
    <t>2022|2022-05-20</t>
  </si>
  <si>
    <t>2022|2022-05-21</t>
  </si>
  <si>
    <t>2022|2022-05-22</t>
  </si>
  <si>
    <t>2022|2022-05-23</t>
  </si>
  <si>
    <t>2022|2022-05-24</t>
  </si>
  <si>
    <t>2022|2022-05-25</t>
  </si>
  <si>
    <t>2022|2022-05-26</t>
  </si>
  <si>
    <t>2022|2022-05-27</t>
  </si>
  <si>
    <t>2022|2022-05-28</t>
  </si>
  <si>
    <t>2022|2022-05-29</t>
  </si>
  <si>
    <t>2022|2022-05-30</t>
  </si>
  <si>
    <t>2022|2022-05-31</t>
  </si>
  <si>
    <t>2022|2022-06-01</t>
  </si>
  <si>
    <t>2022|2022-06-02</t>
  </si>
  <si>
    <t>2022|2022-06-03</t>
  </si>
  <si>
    <t>2022|2022-06-04</t>
  </si>
  <si>
    <t>2022|2022-06-05</t>
  </si>
  <si>
    <t>2022|2022-06-06</t>
  </si>
  <si>
    <t>2022|2022-06-07</t>
  </si>
  <si>
    <t>2022|2022-06-08</t>
  </si>
  <si>
    <t>2022|2022-06-09</t>
  </si>
  <si>
    <t>2022|2022-06-10</t>
  </si>
  <si>
    <t>2022|2022-06-11</t>
  </si>
  <si>
    <t>2022|2022-06-12</t>
  </si>
  <si>
    <t>2022|2022-06-13</t>
  </si>
  <si>
    <t>2022|2022-06-14</t>
  </si>
  <si>
    <t>2022|2022-06-15</t>
  </si>
  <si>
    <t>2022|2022-06-16</t>
  </si>
  <si>
    <t>2022|2022-06-17</t>
  </si>
  <si>
    <t>2022|2022-06-18</t>
  </si>
  <si>
    <t>2022|2022-06-19</t>
  </si>
  <si>
    <t>2022|2022-06-20</t>
  </si>
  <si>
    <t>2022|2022-06-21</t>
  </si>
  <si>
    <t>2022|2022-06-22</t>
  </si>
  <si>
    <t>2022|2022-06-23</t>
  </si>
  <si>
    <t>2022|2022-06-24</t>
  </si>
  <si>
    <t>2022|2022-06-25</t>
  </si>
  <si>
    <t>2022|2022-06-26</t>
  </si>
  <si>
    <t>2022|2022-06-27</t>
  </si>
  <si>
    <t>2022|2022-06-28</t>
  </si>
  <si>
    <t>2022|2022-06-29</t>
  </si>
  <si>
    <t>2022|2022-06-30</t>
  </si>
  <si>
    <t>2025|2025-12-20</t>
  </si>
  <si>
    <t>2025|2025-12-21</t>
  </si>
  <si>
    <t>2025|2025-12-22</t>
  </si>
  <si>
    <t>2025|2025-12-23</t>
  </si>
  <si>
    <t>2025|2025-12-25</t>
  </si>
  <si>
    <t>2025|2025-12-28</t>
  </si>
  <si>
    <t>2019/2020</t>
  </si>
  <si>
    <t>2020/2021</t>
  </si>
  <si>
    <t>2021/2022</t>
  </si>
  <si>
    <t>2022/2023</t>
  </si>
  <si>
    <t>2023/2024</t>
  </si>
  <si>
    <t>2024/2025</t>
  </si>
  <si>
    <t>2025/2026</t>
  </si>
  <si>
    <t>2026/2027</t>
  </si>
  <si>
    <t>Exercice</t>
  </si>
  <si>
    <t>Évolution €</t>
  </si>
  <si>
    <t>Évol. %</t>
  </si>
  <si>
    <t>Moy. Mens.</t>
  </si>
  <si>
    <t>📊 ÉVOLUTION HISTORIQUE DU CA</t>
  </si>
  <si>
    <t>&lt;- références des CA pour contrôle des totaux juste</t>
  </si>
  <si>
    <t>2024|2018-10-03</t>
  </si>
  <si>
    <t>2024|2018-10-04</t>
  </si>
  <si>
    <t>2024|2018-10-05</t>
  </si>
  <si>
    <t>2024|2018-10-06</t>
  </si>
  <si>
    <t>2024|2018-10-07</t>
  </si>
  <si>
    <t>2024|2018-10-08</t>
  </si>
  <si>
    <t>2024|2018-10-09</t>
  </si>
  <si>
    <t>2024|2018-10-10</t>
  </si>
  <si>
    <t>2024|2018-10-11</t>
  </si>
  <si>
    <t>2024|2018-10-12</t>
  </si>
  <si>
    <t>2024|2018-10-13</t>
  </si>
  <si>
    <t>2024|2018-10-14</t>
  </si>
  <si>
    <t>2024|2018-10-15</t>
  </si>
  <si>
    <t>2024|2018-10-16</t>
  </si>
  <si>
    <t>2024|2018-10-17</t>
  </si>
  <si>
    <t>2024|2018-10-18</t>
  </si>
  <si>
    <t>2024|2018-10-19</t>
  </si>
  <si>
    <t>2024|2018-10-20</t>
  </si>
  <si>
    <t>2024|2018-10-21</t>
  </si>
  <si>
    <t>2024|2018-10-22</t>
  </si>
  <si>
    <t>2024|2018-10-23</t>
  </si>
  <si>
    <t>2024|2018-10-24</t>
  </si>
  <si>
    <t>2024|2018-10-25</t>
  </si>
  <si>
    <t>2024|2018-10-26</t>
  </si>
  <si>
    <t>2024|2018-10-27</t>
  </si>
  <si>
    <t>2024|2018-10-28</t>
  </si>
  <si>
    <t>2024|2018-10-30</t>
  </si>
  <si>
    <t>2024|2018-10-31</t>
  </si>
  <si>
    <t>2024|2018-11-01</t>
  </si>
  <si>
    <t>2024|2018-11-02</t>
  </si>
  <si>
    <t>2024|2018-11-03</t>
  </si>
  <si>
    <t>2024|2018-11-04</t>
  </si>
  <si>
    <t>2024|2018-11-05</t>
  </si>
  <si>
    <t>2024|2018-11-06</t>
  </si>
  <si>
    <t>2024|2018-11-07</t>
  </si>
  <si>
    <t>2018|2018-06-25</t>
  </si>
  <si>
    <t>2024|2018-06-26</t>
  </si>
  <si>
    <t>2024|2018-06-27</t>
  </si>
  <si>
    <t>2024|2018-06-28</t>
  </si>
  <si>
    <t>2024|2018-06-29</t>
  </si>
  <si>
    <t>2024|2018-06-30</t>
  </si>
  <si>
    <t>2024|2018-07-01</t>
  </si>
  <si>
    <t>2024|2018-07-02</t>
  </si>
  <si>
    <t>2024|2018-07-03</t>
  </si>
  <si>
    <t>2024|2018-07-04</t>
  </si>
  <si>
    <t>2024|2018-07-05</t>
  </si>
  <si>
    <t>2024|2018-07-06</t>
  </si>
  <si>
    <t>2024|2018-07-07</t>
  </si>
  <si>
    <t>2024|2018-07-08</t>
  </si>
  <si>
    <t>2024|2018-07-09</t>
  </si>
  <si>
    <t>2024|2018-07-10</t>
  </si>
  <si>
    <t>2024|2018-07-11</t>
  </si>
  <si>
    <t>2024|2018-07-12</t>
  </si>
  <si>
    <t>2024|2018-07-13</t>
  </si>
  <si>
    <t>2024|2018-07-14</t>
  </si>
  <si>
    <t>2024|2018-07-15</t>
  </si>
  <si>
    <t>2024|2018-07-16</t>
  </si>
  <si>
    <t>2024|2018-07-17</t>
  </si>
  <si>
    <t>2024|2018-07-18</t>
  </si>
  <si>
    <t>2024|2018-07-19</t>
  </si>
  <si>
    <t>2024|2018-07-20</t>
  </si>
  <si>
    <t>2024|2018-07-21</t>
  </si>
  <si>
    <t>2024|2018-07-22</t>
  </si>
  <si>
    <t>2024|2018-07-23</t>
  </si>
  <si>
    <t>2024|2018-07-24</t>
  </si>
  <si>
    <t>2024|2018-07-25</t>
  </si>
  <si>
    <t>2024|2018-07-26</t>
  </si>
  <si>
    <t>2024|2018-07-27</t>
  </si>
  <si>
    <t>2024|2018-07-28</t>
  </si>
  <si>
    <t>2024|2018-07-29</t>
  </si>
  <si>
    <t>2024|2018-07-30</t>
  </si>
  <si>
    <t>2024|2018-07-31</t>
  </si>
  <si>
    <t>2024|2018-08-01</t>
  </si>
  <si>
    <t>2024|2018-08-02</t>
  </si>
  <si>
    <t>2024|2018-08-03</t>
  </si>
  <si>
    <t>2024|2018-08-04</t>
  </si>
  <si>
    <t>2024|2018-08-05</t>
  </si>
  <si>
    <t>2024|2018-08-06</t>
  </si>
  <si>
    <t>2024|2018-08-07</t>
  </si>
  <si>
    <t>2024|2018-08-08</t>
  </si>
  <si>
    <t>2024|2018-08-09</t>
  </si>
  <si>
    <t>2024|2018-08-10</t>
  </si>
  <si>
    <t>2024|2018-08-11</t>
  </si>
  <si>
    <t>2024|2018-08-12</t>
  </si>
  <si>
    <t>2024|2018-08-13</t>
  </si>
  <si>
    <t>2024|2018-08-14</t>
  </si>
  <si>
    <t>2024|2018-08-15</t>
  </si>
  <si>
    <t>2024|2018-08-16</t>
  </si>
  <si>
    <t>2024|2018-08-17</t>
  </si>
  <si>
    <t>2024|2018-08-18</t>
  </si>
  <si>
    <t>2024|2018-08-19</t>
  </si>
  <si>
    <t>2024|2018-08-20</t>
  </si>
  <si>
    <t>2024|2018-08-21</t>
  </si>
  <si>
    <t>2024|2018-08-22</t>
  </si>
  <si>
    <t>2024|2018-08-23</t>
  </si>
  <si>
    <t>2024|2018-08-24</t>
  </si>
  <si>
    <t>2024|2018-08-25</t>
  </si>
  <si>
    <t>2024|2018-08-26</t>
  </si>
  <si>
    <t>2024|2018-08-27</t>
  </si>
  <si>
    <t>2024|2018-08-28</t>
  </si>
  <si>
    <t>2024|2018-08-29</t>
  </si>
  <si>
    <t>2024|2018-08-30</t>
  </si>
  <si>
    <t>2024|2018-08-31</t>
  </si>
  <si>
    <t>2024|2018-09-01</t>
  </si>
  <si>
    <t>2024|2018-09-02</t>
  </si>
  <si>
    <t>2024|2018-09-03</t>
  </si>
  <si>
    <t>2024|2018-09-04</t>
  </si>
  <si>
    <t>2024|2018-09-05</t>
  </si>
  <si>
    <t>2024|2018-09-06</t>
  </si>
  <si>
    <t>2024|2018-09-07</t>
  </si>
  <si>
    <t>2024|2018-09-08</t>
  </si>
  <si>
    <t>2024|2018-09-09</t>
  </si>
  <si>
    <t>2024|2018-09-10</t>
  </si>
  <si>
    <t>2024|2018-09-11</t>
  </si>
  <si>
    <t>2024|2018-09-12</t>
  </si>
  <si>
    <t>2024|2018-09-13</t>
  </si>
  <si>
    <t>2024|2018-09-14</t>
  </si>
  <si>
    <t>2024|2018-09-15</t>
  </si>
  <si>
    <t>2024|2018-09-16</t>
  </si>
  <si>
    <t>2024|2018-09-17</t>
  </si>
  <si>
    <t>2024|2018-09-18</t>
  </si>
  <si>
    <t>2024|2018-09-19</t>
  </si>
  <si>
    <t>2024|2018-09-20</t>
  </si>
  <si>
    <t>2024|2018-09-21</t>
  </si>
  <si>
    <t>2024|2018-09-22</t>
  </si>
  <si>
    <t>2024|2018-09-23</t>
  </si>
  <si>
    <t>2024|2018-09-24</t>
  </si>
  <si>
    <t>2024|2018-09-25</t>
  </si>
  <si>
    <t>2024|2018-09-26</t>
  </si>
  <si>
    <t>2024|2018-09-27</t>
  </si>
  <si>
    <t>2024|2018-09-28</t>
  </si>
  <si>
    <t>2024|2018-09-29</t>
  </si>
  <si>
    <t>2024|2018-09-30</t>
  </si>
  <si>
    <t>2024|2018-10-01</t>
  </si>
  <si>
    <t>2024|2018-10-02</t>
  </si>
  <si>
    <t>2018|2018-10-29</t>
  </si>
  <si>
    <t>2024|2018-11-08</t>
  </si>
  <si>
    <t>2024|2018-11-09</t>
  </si>
  <si>
    <t>2024|2018-11-10</t>
  </si>
  <si>
    <t>2024|2018-11-11</t>
  </si>
  <si>
    <t>2024|2018-11-12</t>
  </si>
  <si>
    <t>2024|2018-11-13</t>
  </si>
  <si>
    <t>2024|2018-11-14</t>
  </si>
  <si>
    <t>2024|2018-11-15</t>
  </si>
  <si>
    <t>2024|2018-11-16</t>
  </si>
  <si>
    <t>2024|2018-11-17</t>
  </si>
  <si>
    <t>2024|2018-11-18</t>
  </si>
  <si>
    <t>2024|2018-11-19</t>
  </si>
  <si>
    <t>2024|2018-11-20</t>
  </si>
  <si>
    <t>2024|2018-11-21</t>
  </si>
  <si>
    <t>2024|2018-11-22</t>
  </si>
  <si>
    <t>2024|2018-11-23</t>
  </si>
  <si>
    <t>2024|2018-11-24</t>
  </si>
  <si>
    <t>2024|2018-11-25</t>
  </si>
  <si>
    <t>2024|2018-11-27</t>
  </si>
  <si>
    <t>2024|2018-11-28</t>
  </si>
  <si>
    <t>2024|2018-11-29</t>
  </si>
  <si>
    <t>2024|2018-11-30</t>
  </si>
  <si>
    <t>2024|2018-12-01</t>
  </si>
  <si>
    <t>2024|2018-12-02</t>
  </si>
  <si>
    <t>2024|2018-12-03</t>
  </si>
  <si>
    <t>2024|2018-12-04</t>
  </si>
  <si>
    <t>2024|2018-12-05</t>
  </si>
  <si>
    <t>2018|2018-11-26</t>
  </si>
  <si>
    <t>2024|2018-12-06</t>
  </si>
  <si>
    <t>2024|2018-12-07</t>
  </si>
  <si>
    <t>2024|2018-12-08</t>
  </si>
  <si>
    <t>2024|2018-12-09</t>
  </si>
  <si>
    <t>2024|2018-12-10</t>
  </si>
  <si>
    <t>2024|2018-12-11</t>
  </si>
  <si>
    <t>2024|2018-12-12</t>
  </si>
  <si>
    <t>2024|2018-12-13</t>
  </si>
  <si>
    <t>2024|2018-12-14</t>
  </si>
  <si>
    <t>2024|2018-12-15</t>
  </si>
  <si>
    <t>2024|2018-12-16</t>
  </si>
  <si>
    <t>2024|2018-12-17</t>
  </si>
  <si>
    <t>2024|2018-12-18</t>
  </si>
  <si>
    <t>2024|2018-12-19</t>
  </si>
  <si>
    <t>2024|2018-12-20</t>
  </si>
  <si>
    <t>2024|2018-12-21</t>
  </si>
  <si>
    <t>2024|2018-12-22</t>
  </si>
  <si>
    <t>2024|2018-12-23</t>
  </si>
  <si>
    <t>2024|2018-12-24</t>
  </si>
  <si>
    <t>2024|2018-12-25</t>
  </si>
  <si>
    <t>2024|2018-12-26</t>
  </si>
  <si>
    <t>2024|2018-12-27</t>
  </si>
  <si>
    <t>2024|2018-12-28</t>
  </si>
  <si>
    <t>2024|2018-12-29</t>
  </si>
  <si>
    <t>2024|2018-12-30</t>
  </si>
  <si>
    <t>2024|2019-01-01</t>
  </si>
  <si>
    <t>2024|2019-01-02</t>
  </si>
  <si>
    <t>2018|2018-12-31</t>
  </si>
  <si>
    <t>2024|2019-01-03</t>
  </si>
  <si>
    <t>2024|2019-01-04</t>
  </si>
  <si>
    <t>2024|2019-01-05</t>
  </si>
  <si>
    <t>2024|2019-01-06</t>
  </si>
  <si>
    <t>2024|2019-01-07</t>
  </si>
  <si>
    <t>2024|2019-01-08</t>
  </si>
  <si>
    <t>2024|2019-01-09</t>
  </si>
  <si>
    <t>2024|2019-01-10</t>
  </si>
  <si>
    <t>2024|2019-01-11</t>
  </si>
  <si>
    <t>2024|2019-01-12</t>
  </si>
  <si>
    <t>2024|2019-01-13</t>
  </si>
  <si>
    <t>2024|2019-01-14</t>
  </si>
  <si>
    <t>2024|2019-01-15</t>
  </si>
  <si>
    <t>2024|2019-01-16</t>
  </si>
  <si>
    <t>2024|2019-01-17</t>
  </si>
  <si>
    <t>2024|2019-01-18</t>
  </si>
  <si>
    <t>2024|2019-01-19</t>
  </si>
  <si>
    <t>2024|2019-01-20</t>
  </si>
  <si>
    <t>2024|2019-01-21</t>
  </si>
  <si>
    <t>2024|2019-01-22</t>
  </si>
  <si>
    <t>2024|2019-01-23</t>
  </si>
  <si>
    <t>2024|2019-01-24</t>
  </si>
  <si>
    <t>2024|2019-01-25</t>
  </si>
  <si>
    <t>2024|2019-01-26</t>
  </si>
  <si>
    <t>2024|2019-01-27</t>
  </si>
  <si>
    <t>2024|2019-01-29</t>
  </si>
  <si>
    <t>2024|2019-01-30</t>
  </si>
  <si>
    <t>2024|2019-01-31</t>
  </si>
  <si>
    <t>2024|2019-02-01</t>
  </si>
  <si>
    <t>2024|2019-02-02</t>
  </si>
  <si>
    <t>2024|2019-02-03</t>
  </si>
  <si>
    <t>2024|2019-02-04</t>
  </si>
  <si>
    <t>2024|2019-02-05</t>
  </si>
  <si>
    <t>2024|2019-02-06</t>
  </si>
  <si>
    <t>2019|2019-01-28</t>
  </si>
  <si>
    <t>2024|2019-02-07</t>
  </si>
  <si>
    <t>2024|2019-02-08</t>
  </si>
  <si>
    <t>2024|2019-02-09</t>
  </si>
  <si>
    <t>2024|2019-02-10</t>
  </si>
  <si>
    <t>2024|2019-02-11</t>
  </si>
  <si>
    <t>2024|2019-02-12</t>
  </si>
  <si>
    <t>2024|2019-02-13</t>
  </si>
  <si>
    <t>2024|2019-02-14</t>
  </si>
  <si>
    <t>2024|2019-02-15</t>
  </si>
  <si>
    <t>2024|2019-02-16</t>
  </si>
  <si>
    <t>2024|2019-02-17</t>
  </si>
  <si>
    <t>2024|2019-02-18</t>
  </si>
  <si>
    <t>2024|2019-02-19</t>
  </si>
  <si>
    <t>2024|2019-02-20</t>
  </si>
  <si>
    <t>2024|2019-02-21</t>
  </si>
  <si>
    <t>2024|2019-02-22</t>
  </si>
  <si>
    <t>2024|2019-02-23</t>
  </si>
  <si>
    <t>2024|2019-02-24</t>
  </si>
  <si>
    <t>2024|2019-02-26</t>
  </si>
  <si>
    <t>2024|2019-02-27</t>
  </si>
  <si>
    <t>2024|2019-02-28</t>
  </si>
  <si>
    <t>2024|2019-03-01</t>
  </si>
  <si>
    <t>2024|2019-03-02</t>
  </si>
  <si>
    <t>2024|2019-03-03</t>
  </si>
  <si>
    <t>2024|2019-03-04</t>
  </si>
  <si>
    <t>2024|2019-03-05</t>
  </si>
  <si>
    <t>2024|2019-03-06</t>
  </si>
  <si>
    <t>2019|2019-02-25</t>
  </si>
  <si>
    <t>2024|2019-03-07</t>
  </si>
  <si>
    <t>2024|2019-03-08</t>
  </si>
  <si>
    <t>2024|2019-03-09</t>
  </si>
  <si>
    <t>2024|2019-03-10</t>
  </si>
  <si>
    <t>2024|2019-03-11</t>
  </si>
  <si>
    <t>2024|2019-03-12</t>
  </si>
  <si>
    <t>2024|2019-03-13</t>
  </si>
  <si>
    <t>2024|2019-03-14</t>
  </si>
  <si>
    <t>2024|2019-03-15</t>
  </si>
  <si>
    <t>2024|2019-03-16</t>
  </si>
  <si>
    <t>2024|2019-03-17</t>
  </si>
  <si>
    <t>2024|2019-03-18</t>
  </si>
  <si>
    <t>2024|2019-03-19</t>
  </si>
  <si>
    <t>2024|2019-03-20</t>
  </si>
  <si>
    <t>2024|2019-03-21</t>
  </si>
  <si>
    <t>2024|2019-03-22</t>
  </si>
  <si>
    <t>2024|2019-03-23</t>
  </si>
  <si>
    <t>2024|2019-03-24</t>
  </si>
  <si>
    <t>2024|2019-03-25</t>
  </si>
  <si>
    <t>2024|2019-03-26</t>
  </si>
  <si>
    <t>2024|2019-03-27</t>
  </si>
  <si>
    <t>2024|2019-03-28</t>
  </si>
  <si>
    <t>2024|2019-03-29</t>
  </si>
  <si>
    <t>2024|2019-03-30</t>
  </si>
  <si>
    <t>2024|2019-03-31</t>
  </si>
  <si>
    <t>2024|2019-04-01</t>
  </si>
  <si>
    <t>2024|2019-04-02</t>
  </si>
  <si>
    <t>2024|2019-04-03</t>
  </si>
  <si>
    <t>2024|2019-04-04</t>
  </si>
  <si>
    <t>2024|2019-04-05</t>
  </si>
  <si>
    <t>2024|2019-04-06</t>
  </si>
  <si>
    <t>2024|2019-04-07</t>
  </si>
  <si>
    <t>2024|2019-04-08</t>
  </si>
  <si>
    <t>2024|2019-04-09</t>
  </si>
  <si>
    <t>2024|2019-04-10</t>
  </si>
  <si>
    <t>2024|2019-04-11</t>
  </si>
  <si>
    <t>2024|2019-04-12</t>
  </si>
  <si>
    <t>2024|2019-04-13</t>
  </si>
  <si>
    <t>2024|2019-04-14</t>
  </si>
  <si>
    <t>2024|2019-04-15</t>
  </si>
  <si>
    <t>2024|2019-04-16</t>
  </si>
  <si>
    <t>2024|2019-04-17</t>
  </si>
  <si>
    <t>2024|2019-04-18</t>
  </si>
  <si>
    <t>2024|2019-04-19</t>
  </si>
  <si>
    <t>2024|2019-04-20</t>
  </si>
  <si>
    <t>2024|2019-04-21</t>
  </si>
  <si>
    <t>2024|2019-04-22</t>
  </si>
  <si>
    <t>2024|2019-04-23</t>
  </si>
  <si>
    <t>2024|2019-04-24</t>
  </si>
  <si>
    <t>2024|2019-04-25</t>
  </si>
  <si>
    <t>2024|2019-04-26</t>
  </si>
  <si>
    <t>2024|2019-04-27</t>
  </si>
  <si>
    <t>2024|2019-04-28</t>
  </si>
  <si>
    <t>2024|2019-04-30</t>
  </si>
  <si>
    <t>2024|2019-05-01</t>
  </si>
  <si>
    <t>2024|2019-05-02</t>
  </si>
  <si>
    <t>2024|2019-05-03</t>
  </si>
  <si>
    <t>2024|2019-05-04</t>
  </si>
  <si>
    <t>2024|2019-05-05</t>
  </si>
  <si>
    <t>2024|2019-05-06</t>
  </si>
  <si>
    <t>2024|2019-05-07</t>
  </si>
  <si>
    <t>2024|2019-05-08</t>
  </si>
  <si>
    <t>2019|2019-04-29</t>
  </si>
  <si>
    <t>2024|2019-05-09</t>
  </si>
  <si>
    <t>2024|2019-05-10</t>
  </si>
  <si>
    <t>2024|2019-05-11</t>
  </si>
  <si>
    <t>2024|2019-05-12</t>
  </si>
  <si>
    <t>2024|2019-05-13</t>
  </si>
  <si>
    <t>2024|2019-05-14</t>
  </si>
  <si>
    <t>2024|2019-05-15</t>
  </si>
  <si>
    <t>2024|2019-05-16</t>
  </si>
  <si>
    <t>2024|2019-05-17</t>
  </si>
  <si>
    <t>2024|2019-05-18</t>
  </si>
  <si>
    <t>2024|2019-05-19</t>
  </si>
  <si>
    <t>2024|2019-05-20</t>
  </si>
  <si>
    <t>2024|2019-05-21</t>
  </si>
  <si>
    <t>2024|2019-05-22</t>
  </si>
  <si>
    <t>2024|2019-05-23</t>
  </si>
  <si>
    <t>2024|2019-05-24</t>
  </si>
  <si>
    <t>2024|2019-05-25</t>
  </si>
  <si>
    <t>2024|2019-05-26</t>
  </si>
  <si>
    <t>2024|2019-05-28</t>
  </si>
  <si>
    <t>2024|2019-05-29</t>
  </si>
  <si>
    <t>2024|2019-05-30</t>
  </si>
  <si>
    <t>2024|2019-05-31</t>
  </si>
  <si>
    <t>2024|2019-06-01</t>
  </si>
  <si>
    <t>2024|2019-06-02</t>
  </si>
  <si>
    <t>2024|2019-06-03</t>
  </si>
  <si>
    <t>2024|2019-06-04</t>
  </si>
  <si>
    <t>2024|2019-06-05</t>
  </si>
  <si>
    <t>2019|2019-05-27</t>
  </si>
  <si>
    <t>2024|2019-06-06</t>
  </si>
  <si>
    <t>2024|2019-06-07</t>
  </si>
  <si>
    <t>2024|2019-06-08</t>
  </si>
  <si>
    <t>2024|2019-06-09</t>
  </si>
  <si>
    <t>2024|2019-06-10</t>
  </si>
  <si>
    <t>2024|2019-06-11</t>
  </si>
  <si>
    <t>2024|2019-06-12</t>
  </si>
  <si>
    <t>2024|2019-06-13</t>
  </si>
  <si>
    <t>2024|2019-06-14</t>
  </si>
  <si>
    <t>2024|2019-06-15</t>
  </si>
  <si>
    <t>2024|2019-06-16</t>
  </si>
  <si>
    <t>2024|2019-06-17</t>
  </si>
  <si>
    <t>2024|2019-06-18</t>
  </si>
  <si>
    <t>2024|2019-06-19</t>
  </si>
  <si>
    <t>2024|2019-06-20</t>
  </si>
  <si>
    <t>2024|2019-06-21</t>
  </si>
  <si>
    <t>2024|2019-06-22</t>
  </si>
  <si>
    <t>2024|2019-06-23</t>
  </si>
  <si>
    <t>2024|2019-06-24</t>
  </si>
  <si>
    <t>2024|2019-06-25</t>
  </si>
  <si>
    <t>2024|2019-06-26</t>
  </si>
  <si>
    <t>2024|2019-06-27</t>
  </si>
  <si>
    <t>2024|2019-06-28</t>
  </si>
  <si>
    <t>2024|2019-06-29</t>
  </si>
  <si>
    <t>2024|2019-06-30</t>
  </si>
  <si>
    <t>2020|2020-06-01</t>
  </si>
  <si>
    <t>2263|2263-10-19</t>
  </si>
  <si>
    <t>Récapitulatif</t>
  </si>
  <si>
    <t>2025|2025-12-24</t>
  </si>
  <si>
    <t>2025|2025-12-26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</si>
</sst>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#,##0.00\ &quot;€&quot;;[Red]\-#,##0.00\ &quot;€&quot;"/>
    <numFmt numFmtId="164" formatCode="#,##0.00\ \€"/>
    <numFmt numFmtId="165" formatCode="#,##0.00\ \€;[Red]\-#,##0.00\ \€"/>
    <numFmt numFmtId="166" formatCode="0.0%;[Red]\-0.0%;&quot;-&quot;"/>
    <numFmt numFmtId="167" formatCode="#,##0.00\ &quot;€&quot;"/>
    <numFmt numFmtId="168" formatCode="0.0%"/>
    <numFmt numFmtId="169" formatCode="#,##0\ \€"/>
    <numFmt numFmtId="170" formatCode="#,##0.00\ _€"/>
  </numFmts>
  <fonts count="49">
    <font>
      <sz val="11"/>
      <color theme="1"/>
      <name val="Calibri"/>
      <family val="2"/>
      <scheme val="minor"/>
    </font>
    <font>
      <sz val="11"/>
      <color rgb="FF0000FF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</font>
    <font>
      <b/>
      <i/>
      <sz val="11"/>
      <color rgb="FF008000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rgb="FFFFFFFF"/>
      <name val="Calibri"/>
      <family val="2"/>
    </font>
    <font>
      <b/>
      <sz val="20"/>
      <name val="Calibri"/>
      <family val="2"/>
    </font>
    <font>
      <b/>
      <sz val="11"/>
      <color theme="1"/>
      <name val="Calibri"/>
      <family val="2"/>
      <scheme val="minor"/>
    </font>
    <font>
      <sz val="16"/>
      <color rgb="FF646464"/>
      <name val="Calibri"/>
      <family val="2"/>
      <scheme val="minor"/>
    </font>
    <font>
      <i/>
      <sz val="11"/>
      <color rgb="FF969696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color rgb="FF646464"/>
      <name val="Calibri"/>
      <family val="2"/>
      <scheme val="minor"/>
    </font>
    <font>
      <b/>
      <sz val="28"/>
      <color theme="5" tint="-0.249977111117893"/>
      <name val="Calibri"/>
      <family val="2"/>
      <scheme val="minor"/>
    </font>
    <font>
      <b/>
      <sz val="10"/>
      <color rgb="FF800000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rgb="FFFFFFFF"/>
      <name val="Calibri"/>
      <family val="2"/>
    </font>
    <font>
      <b/>
      <sz val="12"/>
      <name val="Calibri"/>
      <family val="2"/>
    </font>
    <font>
      <b/>
      <sz val="18"/>
      <color rgb="FF6C757D"/>
      <name val="Calibri"/>
      <family val="2"/>
    </font>
    <font>
      <b/>
      <sz val="18"/>
      <color rgb="FF28A745"/>
      <name val="Calibri"/>
      <family val="2"/>
    </font>
    <font>
      <b/>
      <sz val="18"/>
      <color rgb="FFDC3545"/>
      <name val="Calibri"/>
      <family val="2"/>
    </font>
    <font>
      <b/>
      <sz val="18"/>
      <color rgb="FF0066CC"/>
      <name val="Calibri"/>
      <family val="2"/>
    </font>
    <font>
      <b/>
      <sz val="18"/>
      <color theme="7" tint="-0.249977111117893"/>
      <name val="Calibri"/>
      <family val="2"/>
      <scheme val="minor"/>
    </font>
    <font>
      <b/>
      <sz val="18"/>
      <color theme="9" tint="0.39997558519241921"/>
      <name val="Calibri"/>
      <family val="2"/>
      <scheme val="minor"/>
    </font>
    <font>
      <sz val="10"/>
      <color rgb="FF666666"/>
      <name val="Calibri"/>
      <family val="2"/>
    </font>
    <font>
      <sz val="10"/>
      <color rgb="FF666666"/>
      <name val="Calibri"/>
      <family val="2"/>
      <scheme val="minor"/>
    </font>
    <font>
      <i/>
      <sz val="10"/>
      <color rgb="FF999999"/>
      <name val="Calibri"/>
      <family val="2"/>
    </font>
    <font>
      <sz val="14"/>
      <color rgb="FF666666"/>
      <name val="Calibri"/>
      <family val="2"/>
    </font>
    <font>
      <b/>
      <sz val="24"/>
      <color rgb="FFFFFFFF"/>
      <name val="Calibri"/>
      <family val="2"/>
    </font>
    <font>
      <sz val="11"/>
      <color theme="1" tint="4.9989318521683403E-2"/>
      <name val="Calibri"/>
      <family val="2"/>
    </font>
    <font>
      <b/>
      <sz val="11"/>
      <color theme="1" tint="4.9989318521683403E-2"/>
      <name val="Calibri"/>
      <family val="2"/>
    </font>
    <font>
      <sz val="8"/>
      <name val="Calibri"/>
      <family val="2"/>
      <scheme val="minor"/>
    </font>
    <font>
      <sz val="14"/>
      <color rgb="FF000000"/>
      <name val="Calibri"/>
      <family val="2"/>
    </font>
    <font>
      <sz val="13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3.5"/>
      <color theme="1"/>
      <name val="Calibri"/>
      <family val="2"/>
      <scheme val="minor"/>
    </font>
    <font>
      <sz val="10"/>
      <color rgb="FFABB2BF"/>
      <name val="Calibri"/>
      <family val="2"/>
      <scheme val="minor"/>
    </font>
    <font>
      <sz val="10"/>
      <color rgb="FFD19A66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rgb="FFC678DD"/>
      <name val="Calibri"/>
      <family val="2"/>
      <scheme val="minor"/>
    </font>
    <font>
      <sz val="10"/>
      <color theme="1"/>
      <name val="Arial Unicode MS"/>
    </font>
    <font>
      <sz val="10"/>
      <color rgb="FFABB2BF"/>
      <name val="Arial Unicode MS"/>
    </font>
    <font>
      <sz val="10"/>
      <color theme="1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2CC"/>
      </patternFill>
    </fill>
    <fill>
      <patternFill patternType="solid">
        <fgColor rgb="FFE7E6E6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rgb="FF0066CC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E8F4F8"/>
      </patternFill>
    </fill>
    <fill>
      <patternFill patternType="solid">
        <fgColor theme="5" tint="-0.249977111117893"/>
        <bgColor rgb="FF0066CC"/>
      </patternFill>
    </fill>
    <fill>
      <patternFill patternType="solid">
        <fgColor theme="5" tint="0.59999389629810485"/>
        <bgColor rgb="FF4472C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/>
      <bottom style="thin">
        <color rgb="FFDDDDDD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auto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auto="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auto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auto="1"/>
      </right>
      <top style="thin">
        <color theme="0" tint="-0.249977111117893"/>
      </top>
      <bottom/>
      <diagonal/>
    </border>
    <border>
      <left style="thin">
        <color auto="1"/>
      </left>
      <right/>
      <top style="thin">
        <color theme="0" tint="-0.249977111117893"/>
      </top>
      <bottom/>
      <diagonal/>
    </border>
    <border>
      <left style="thin">
        <color auto="1"/>
      </left>
      <right style="thin">
        <color auto="1"/>
      </right>
      <top style="thin">
        <color theme="0" tint="-0.249977111117893"/>
      </top>
      <bottom/>
      <diagonal/>
    </border>
    <border>
      <left/>
      <right style="thin">
        <color auto="1"/>
      </right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14" fontId="3" fillId="0" borderId="1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right"/>
    </xf>
    <xf numFmtId="165" fontId="3" fillId="0" borderId="1" xfId="0" applyNumberFormat="1" applyFont="1" applyBorder="1" applyAlignment="1">
      <alignment horizontal="right"/>
    </xf>
    <xf numFmtId="166" fontId="3" fillId="0" borderId="1" xfId="0" applyNumberFormat="1" applyFont="1" applyBorder="1" applyAlignment="1">
      <alignment horizontal="right"/>
    </xf>
    <xf numFmtId="164" fontId="6" fillId="2" borderId="2" xfId="0" applyNumberFormat="1" applyFont="1" applyFill="1" applyBorder="1" applyAlignment="1">
      <alignment horizontal="right"/>
    </xf>
    <xf numFmtId="165" fontId="6" fillId="2" borderId="2" xfId="0" applyNumberFormat="1" applyFont="1" applyFill="1" applyBorder="1" applyAlignment="1">
      <alignment horizontal="right"/>
    </xf>
    <xf numFmtId="166" fontId="6" fillId="2" borderId="2" xfId="0" applyNumberFormat="1" applyFont="1" applyFill="1" applyBorder="1" applyAlignment="1">
      <alignment horizontal="right"/>
    </xf>
    <xf numFmtId="0" fontId="8" fillId="0" borderId="1" xfId="0" applyFont="1" applyBorder="1" applyAlignment="1">
      <alignment horizontal="center"/>
    </xf>
    <xf numFmtId="14" fontId="0" fillId="0" borderId="0" xfId="0" applyNumberFormat="1"/>
    <xf numFmtId="49" fontId="8" fillId="0" borderId="1" xfId="0" applyNumberFormat="1" applyFont="1" applyBorder="1" applyAlignment="1">
      <alignment horizontal="center"/>
    </xf>
    <xf numFmtId="0" fontId="0" fillId="0" borderId="0" xfId="0" quotePrefix="1"/>
    <xf numFmtId="49" fontId="0" fillId="0" borderId="1" xfId="0" applyNumberFormat="1" applyBorder="1"/>
    <xf numFmtId="0" fontId="0" fillId="0" borderId="1" xfId="0" applyBorder="1"/>
    <xf numFmtId="167" fontId="0" fillId="0" borderId="1" xfId="0" applyNumberFormat="1" applyBorder="1"/>
    <xf numFmtId="167" fontId="11" fillId="3" borderId="1" xfId="0" applyNumberFormat="1" applyFont="1" applyFill="1" applyBorder="1"/>
    <xf numFmtId="0" fontId="1" fillId="0" borderId="0" xfId="0" applyFont="1" applyAlignment="1">
      <alignment horizontal="center"/>
    </xf>
    <xf numFmtId="0" fontId="7" fillId="0" borderId="0" xfId="0" applyFont="1"/>
    <xf numFmtId="0" fontId="16" fillId="0" borderId="0" xfId="0" applyFont="1" applyAlignment="1">
      <alignment horizontal="center" vertical="top" wrapText="1"/>
    </xf>
    <xf numFmtId="164" fontId="11" fillId="0" borderId="0" xfId="0" applyNumberFormat="1" applyFont="1" applyAlignment="1">
      <alignment horizontal="center"/>
    </xf>
    <xf numFmtId="168" fontId="11" fillId="0" borderId="0" xfId="0" applyNumberFormat="1" applyFont="1" applyAlignment="1">
      <alignment horizontal="center"/>
    </xf>
    <xf numFmtId="168" fontId="0" fillId="0" borderId="7" xfId="0" applyNumberFormat="1" applyBorder="1" applyAlignment="1">
      <alignment horizontal="center"/>
    </xf>
    <xf numFmtId="169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164" fontId="34" fillId="0" borderId="1" xfId="0" applyNumberFormat="1" applyFont="1" applyBorder="1" applyAlignment="1">
      <alignment horizontal="right"/>
    </xf>
    <xf numFmtId="164" fontId="4" fillId="7" borderId="2" xfId="0" applyNumberFormat="1" applyFont="1" applyFill="1" applyBorder="1" applyAlignment="1">
      <alignment horizontal="right"/>
    </xf>
    <xf numFmtId="165" fontId="4" fillId="7" borderId="2" xfId="0" applyNumberFormat="1" applyFont="1" applyFill="1" applyBorder="1" applyAlignment="1">
      <alignment horizontal="right"/>
    </xf>
    <xf numFmtId="166" fontId="4" fillId="7" borderId="2" xfId="0" applyNumberFormat="1" applyFont="1" applyFill="1" applyBorder="1" applyAlignment="1">
      <alignment horizontal="right"/>
    </xf>
    <xf numFmtId="0" fontId="11" fillId="7" borderId="6" xfId="0" applyFont="1" applyFill="1" applyBorder="1" applyAlignment="1">
      <alignment horizontal="center"/>
    </xf>
    <xf numFmtId="169" fontId="11" fillId="7" borderId="7" xfId="0" applyNumberFormat="1" applyFont="1" applyFill="1" applyBorder="1" applyAlignment="1">
      <alignment horizontal="center"/>
    </xf>
    <xf numFmtId="168" fontId="11" fillId="7" borderId="7" xfId="0" applyNumberFormat="1" applyFont="1" applyFill="1" applyBorder="1" applyAlignment="1">
      <alignment horizontal="center"/>
    </xf>
    <xf numFmtId="0" fontId="35" fillId="10" borderId="4" xfId="0" applyFont="1" applyFill="1" applyBorder="1" applyAlignment="1">
      <alignment horizontal="center" vertical="center"/>
    </xf>
    <xf numFmtId="167" fontId="11" fillId="0" borderId="7" xfId="0" applyNumberFormat="1" applyFont="1" applyBorder="1" applyAlignment="1">
      <alignment horizontal="center"/>
    </xf>
    <xf numFmtId="167" fontId="0" fillId="0" borderId="7" xfId="0" applyNumberFormat="1" applyBorder="1" applyAlignment="1">
      <alignment horizontal="center"/>
    </xf>
    <xf numFmtId="167" fontId="11" fillId="7" borderId="6" xfId="0" applyNumberFormat="1" applyFont="1" applyFill="1" applyBorder="1" applyAlignment="1">
      <alignment horizontal="center"/>
    </xf>
    <xf numFmtId="0" fontId="35" fillId="10" borderId="4" xfId="0" applyFont="1" applyFill="1" applyBorder="1" applyAlignment="1">
      <alignment horizontal="center" vertical="center" wrapText="1"/>
    </xf>
    <xf numFmtId="1" fontId="9" fillId="5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49" fontId="0" fillId="0" borderId="0" xfId="0" applyNumberFormat="1"/>
    <xf numFmtId="0" fontId="11" fillId="0" borderId="0" xfId="0" applyFont="1"/>
    <xf numFmtId="169" fontId="38" fillId="0" borderId="19" xfId="0" applyNumberFormat="1" applyFont="1" applyBorder="1" applyAlignment="1">
      <alignment horizontal="center" vertical="center" wrapText="1"/>
    </xf>
    <xf numFmtId="169" fontId="38" fillId="0" borderId="0" xfId="0" applyNumberFormat="1" applyFont="1" applyAlignment="1">
      <alignment horizontal="center" vertical="center" wrapText="1"/>
    </xf>
    <xf numFmtId="0" fontId="11" fillId="7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9" fillId="0" borderId="8" xfId="0" applyFont="1" applyBorder="1"/>
    <xf numFmtId="0" fontId="40" fillId="5" borderId="0" xfId="0" applyFont="1" applyFill="1" applyAlignment="1">
      <alignment vertical="center"/>
    </xf>
    <xf numFmtId="14" fontId="40" fillId="5" borderId="0" xfId="0" applyNumberFormat="1" applyFont="1" applyFill="1" applyAlignment="1">
      <alignment vertical="center"/>
    </xf>
    <xf numFmtId="10" fontId="0" fillId="0" borderId="8" xfId="0" applyNumberFormat="1" applyBorder="1"/>
    <xf numFmtId="0" fontId="41" fillId="0" borderId="0" xfId="0" applyFont="1" applyAlignment="1">
      <alignment vertical="center"/>
    </xf>
    <xf numFmtId="20" fontId="0" fillId="0" borderId="0" xfId="0" applyNumberFormat="1"/>
    <xf numFmtId="0" fontId="0" fillId="0" borderId="0" xfId="0" applyAlignment="1">
      <alignment horizontal="left" vertical="center" indent="1"/>
    </xf>
    <xf numFmtId="0" fontId="43" fillId="0" borderId="0" xfId="0" applyFont="1" applyAlignment="1">
      <alignment horizontal="left" vertical="center" indent="1" readingOrder="1"/>
    </xf>
    <xf numFmtId="0" fontId="42" fillId="0" borderId="0" xfId="0" applyFont="1" applyAlignment="1">
      <alignment horizontal="left" vertical="center" indent="1" readingOrder="1"/>
    </xf>
    <xf numFmtId="0" fontId="44" fillId="0" borderId="0" xfId="0" applyFont="1" applyAlignment="1">
      <alignment vertical="center"/>
    </xf>
    <xf numFmtId="0" fontId="45" fillId="0" borderId="0" xfId="0" applyFont="1" applyAlignment="1">
      <alignment horizontal="left" vertical="center" indent="1" readingOrder="1"/>
    </xf>
    <xf numFmtId="0" fontId="46" fillId="0" borderId="0" xfId="0" applyFont="1" applyAlignment="1">
      <alignment horizontal="left" vertical="center" indent="1"/>
    </xf>
    <xf numFmtId="0" fontId="11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47" fillId="0" borderId="0" xfId="0" applyFont="1" applyAlignment="1">
      <alignment horizontal="left" vertical="center" indent="1" readingOrder="1"/>
    </xf>
    <xf numFmtId="0" fontId="1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8" fontId="0" fillId="0" borderId="0" xfId="0" applyNumberFormat="1" applyAlignment="1">
      <alignment vertical="center" wrapText="1"/>
    </xf>
    <xf numFmtId="10" fontId="0" fillId="0" borderId="0" xfId="0" applyNumberFormat="1" applyAlignment="1">
      <alignment vertical="center" wrapText="1"/>
    </xf>
    <xf numFmtId="0" fontId="11" fillId="0" borderId="0" xfId="0" applyFont="1" applyAlignment="1">
      <alignment vertical="center" wrapText="1"/>
    </xf>
    <xf numFmtId="1" fontId="42" fillId="0" borderId="0" xfId="0" applyNumberFormat="1" applyFont="1" applyAlignment="1">
      <alignment horizontal="left" vertical="center" indent="1" readingOrder="1"/>
    </xf>
    <xf numFmtId="164" fontId="34" fillId="0" borderId="1" xfId="0" applyNumberFormat="1" applyFont="1" applyBorder="1" applyAlignment="1" applyProtection="1">
      <alignment horizontal="right"/>
      <protection locked="0"/>
    </xf>
    <xf numFmtId="167" fontId="0" fillId="0" borderId="0" xfId="0" applyNumberFormat="1"/>
    <xf numFmtId="164" fontId="1" fillId="0" borderId="1" xfId="0" applyNumberFormat="1" applyFont="1" applyBorder="1" applyAlignment="1" applyProtection="1">
      <alignment horizontal="right"/>
      <protection locked="0"/>
    </xf>
    <xf numFmtId="0" fontId="15" fillId="0" borderId="0" xfId="0" applyFont="1" applyAlignment="1">
      <alignment horizontal="center"/>
    </xf>
    <xf numFmtId="0" fontId="11" fillId="0" borderId="0" xfId="0" applyFont="1"/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4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5" fillId="4" borderId="0" xfId="0" applyFont="1" applyFill="1" applyAlignment="1">
      <alignment horizontal="center"/>
    </xf>
    <xf numFmtId="0" fontId="29" fillId="0" borderId="10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15" xfId="0" applyFont="1" applyBorder="1" applyAlignment="1">
      <alignment horizontal="center"/>
    </xf>
    <xf numFmtId="0" fontId="29" fillId="0" borderId="16" xfId="0" applyFont="1" applyBorder="1" applyAlignment="1">
      <alignment horizontal="center"/>
    </xf>
    <xf numFmtId="0" fontId="48" fillId="0" borderId="0" xfId="0" applyFont="1" applyAlignment="1">
      <alignment horizontal="center" vertical="center" wrapText="1"/>
    </xf>
    <xf numFmtId="0" fontId="40" fillId="5" borderId="0" xfId="0" applyFont="1" applyFill="1" applyAlignment="1">
      <alignment horizontal="center" vertical="center"/>
    </xf>
    <xf numFmtId="0" fontId="33" fillId="9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1" fillId="0" borderId="0" xfId="0" applyFont="1" applyAlignment="1">
      <alignment horizontal="center"/>
    </xf>
    <xf numFmtId="169" fontId="26" fillId="0" borderId="10" xfId="0" applyNumberFormat="1" applyFont="1" applyBorder="1" applyAlignment="1">
      <alignment horizontal="center"/>
    </xf>
    <xf numFmtId="169" fontId="26" fillId="0" borderId="11" xfId="0" applyNumberFormat="1" applyFont="1" applyBorder="1" applyAlignment="1">
      <alignment horizontal="center"/>
    </xf>
    <xf numFmtId="167" fontId="24" fillId="0" borderId="10" xfId="0" applyNumberFormat="1" applyFont="1" applyBorder="1" applyAlignment="1">
      <alignment horizontal="center"/>
    </xf>
    <xf numFmtId="167" fontId="24" fillId="0" borderId="9" xfId="0" applyNumberFormat="1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2" fillId="8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0" fillId="0" borderId="15" xfId="0" applyFont="1" applyBorder="1" applyAlignment="1">
      <alignment horizontal="center"/>
    </xf>
    <xf numFmtId="0" fontId="30" fillId="0" borderId="17" xfId="0" applyFont="1" applyBorder="1" applyAlignment="1">
      <alignment horizontal="center"/>
    </xf>
    <xf numFmtId="0" fontId="30" fillId="0" borderId="16" xfId="0" applyFont="1" applyBorder="1" applyAlignment="1">
      <alignment horizontal="center"/>
    </xf>
    <xf numFmtId="0" fontId="28" fillId="0" borderId="10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1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/>
    </xf>
    <xf numFmtId="170" fontId="27" fillId="0" borderId="10" xfId="0" applyNumberFormat="1" applyFont="1" applyBorder="1" applyAlignment="1">
      <alignment horizontal="center" vertical="center"/>
    </xf>
    <xf numFmtId="170" fontId="27" fillId="0" borderId="9" xfId="0" applyNumberFormat="1" applyFont="1" applyBorder="1" applyAlignment="1">
      <alignment horizontal="center" vertical="center"/>
    </xf>
    <xf numFmtId="168" fontId="25" fillId="0" borderId="10" xfId="0" applyNumberFormat="1" applyFont="1" applyBorder="1" applyAlignment="1">
      <alignment horizontal="center"/>
    </xf>
    <xf numFmtId="168" fontId="25" fillId="0" borderId="9" xfId="0" applyNumberFormat="1" applyFont="1" applyBorder="1" applyAlignment="1">
      <alignment horizontal="center"/>
    </xf>
    <xf numFmtId="169" fontId="23" fillId="0" borderId="13" xfId="0" applyNumberFormat="1" applyFont="1" applyBorder="1" applyAlignment="1">
      <alignment horizontal="center"/>
    </xf>
    <xf numFmtId="169" fontId="23" fillId="0" borderId="11" xfId="0" applyNumberFormat="1" applyFont="1" applyBorder="1" applyAlignment="1">
      <alignment horizontal="center"/>
    </xf>
    <xf numFmtId="0" fontId="11" fillId="7" borderId="0" xfId="0" applyFont="1" applyFill="1" applyAlignment="1">
      <alignment horizontal="center" vertical="center"/>
    </xf>
    <xf numFmtId="167" fontId="39" fillId="0" borderId="8" xfId="0" applyNumberFormat="1" applyFont="1" applyBorder="1" applyAlignment="1">
      <alignment horizontal="center" vertical="center"/>
    </xf>
    <xf numFmtId="167" fontId="39" fillId="0" borderId="8" xfId="0" applyNumberFormat="1" applyFont="1" applyBorder="1" applyAlignment="1">
      <alignment horizontal="center"/>
    </xf>
    <xf numFmtId="0" fontId="39" fillId="0" borderId="8" xfId="0" applyFont="1" applyBorder="1" applyAlignment="1">
      <alignment horizontal="center"/>
    </xf>
    <xf numFmtId="167" fontId="0" fillId="0" borderId="8" xfId="0" applyNumberFormat="1" applyBorder="1" applyAlignment="1">
      <alignment horizontal="center"/>
    </xf>
    <xf numFmtId="0" fontId="5" fillId="2" borderId="2" xfId="0" applyFont="1" applyFill="1" applyBorder="1" applyAlignment="1">
      <alignment horizontal="left"/>
    </xf>
    <xf numFmtId="0" fontId="0" fillId="0" borderId="5" xfId="0" applyBorder="1"/>
    <xf numFmtId="0" fontId="0" fillId="0" borderId="3" xfId="0" applyBorder="1"/>
    <xf numFmtId="0" fontId="4" fillId="7" borderId="2" xfId="0" applyFont="1" applyFill="1" applyBorder="1" applyAlignment="1">
      <alignment horizontal="left"/>
    </xf>
    <xf numFmtId="0" fontId="0" fillId="7" borderId="5" xfId="0" applyFill="1" applyBorder="1"/>
    <xf numFmtId="0" fontId="0" fillId="7" borderId="3" xfId="0" applyFill="1" applyBorder="1"/>
    <xf numFmtId="0" fontId="10" fillId="0" borderId="0" xfId="0" applyFont="1" applyAlignment="1">
      <alignment horizontal="center" vertical="center"/>
    </xf>
    <xf numFmtId="0" fontId="0" fillId="0" borderId="0" xfId="0" applyAlignment="1">
      <alignment vertical="center"/>
    </xf>
  </cellXfs>
  <cellStyles count="1">
    <cellStyle name="Normal" xfId="0" builtinId="0"/>
  </cellStyles>
  <dxfs count="74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Récapitulatif!$C$16</c:f>
              <c:strCache>
                <c:ptCount val="1"/>
                <c:pt idx="0">
                  <c:v>2024/2025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Récapitulatif!$B$17:$B$28</c:f>
              <c:strCache>
                <c:ptCount val="12"/>
                <c:pt idx="0">
                  <c:v>Juillet</c:v>
                </c:pt>
                <c:pt idx="1">
                  <c:v>Août</c:v>
                </c:pt>
                <c:pt idx="2">
                  <c:v>Septembre</c:v>
                </c:pt>
                <c:pt idx="3">
                  <c:v>Octobre</c:v>
                </c:pt>
                <c:pt idx="4">
                  <c:v>Novembre</c:v>
                </c:pt>
                <c:pt idx="5">
                  <c:v>Décembre</c:v>
                </c:pt>
                <c:pt idx="6">
                  <c:v>Janvier</c:v>
                </c:pt>
                <c:pt idx="7">
                  <c:v>Février</c:v>
                </c:pt>
                <c:pt idx="8">
                  <c:v>Mars</c:v>
                </c:pt>
                <c:pt idx="9">
                  <c:v>Avril</c:v>
                </c:pt>
                <c:pt idx="10">
                  <c:v>Mai</c:v>
                </c:pt>
                <c:pt idx="11">
                  <c:v>Juin</c:v>
                </c:pt>
              </c:strCache>
            </c:strRef>
          </c:cat>
          <c:val>
            <c:numRef>
              <c:f>Récapitulatif!$C$17:$C$28</c:f>
              <c:numCache>
                <c:formatCode>#\ ##0.00\ "€"</c:formatCode>
                <c:ptCount val="12"/>
                <c:pt idx="0">
                  <c:v>11038</c:v>
                </c:pt>
                <c:pt idx="1">
                  <c:v>12715.5</c:v>
                </c:pt>
                <c:pt idx="2">
                  <c:v>11018.599999999999</c:v>
                </c:pt>
                <c:pt idx="3">
                  <c:v>11414.5</c:v>
                </c:pt>
                <c:pt idx="4">
                  <c:v>11730</c:v>
                </c:pt>
                <c:pt idx="5">
                  <c:v>15272.4</c:v>
                </c:pt>
                <c:pt idx="6">
                  <c:v>12706.300000000001</c:v>
                </c:pt>
                <c:pt idx="7">
                  <c:v>13401.6</c:v>
                </c:pt>
                <c:pt idx="8">
                  <c:v>10553.7</c:v>
                </c:pt>
                <c:pt idx="9">
                  <c:v>13874.699999999999</c:v>
                </c:pt>
                <c:pt idx="10">
                  <c:v>13337.1</c:v>
                </c:pt>
                <c:pt idx="11">
                  <c:v>14222.2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14-4597-BE4E-F63377425D8A}"/>
            </c:ext>
          </c:extLst>
        </c:ser>
        <c:ser>
          <c:idx val="1"/>
          <c:order val="1"/>
          <c:tx>
            <c:strRef>
              <c:f>Récapitulatif!$D$16</c:f>
              <c:strCache>
                <c:ptCount val="1"/>
                <c:pt idx="0">
                  <c:v>2025/2026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strRef>
              <c:f>Récapitulatif!$B$17:$B$28</c:f>
              <c:strCache>
                <c:ptCount val="12"/>
                <c:pt idx="0">
                  <c:v>Juillet</c:v>
                </c:pt>
                <c:pt idx="1">
                  <c:v>Août</c:v>
                </c:pt>
                <c:pt idx="2">
                  <c:v>Septembre</c:v>
                </c:pt>
                <c:pt idx="3">
                  <c:v>Octobre</c:v>
                </c:pt>
                <c:pt idx="4">
                  <c:v>Novembre</c:v>
                </c:pt>
                <c:pt idx="5">
                  <c:v>Décembre</c:v>
                </c:pt>
                <c:pt idx="6">
                  <c:v>Janvier</c:v>
                </c:pt>
                <c:pt idx="7">
                  <c:v>Février</c:v>
                </c:pt>
                <c:pt idx="8">
                  <c:v>Mars</c:v>
                </c:pt>
                <c:pt idx="9">
                  <c:v>Avril</c:v>
                </c:pt>
                <c:pt idx="10">
                  <c:v>Mai</c:v>
                </c:pt>
                <c:pt idx="11">
                  <c:v>Juin</c:v>
                </c:pt>
              </c:strCache>
            </c:strRef>
          </c:cat>
          <c:val>
            <c:numRef>
              <c:f>Récapitulatif!$D$17:$D$28</c:f>
              <c:numCache>
                <c:formatCode>#\ ##0.00\ "€"</c:formatCode>
                <c:ptCount val="12"/>
                <c:pt idx="0">
                  <c:v>13907.8</c:v>
                </c:pt>
                <c:pt idx="1">
                  <c:v>13436</c:v>
                </c:pt>
                <c:pt idx="2">
                  <c:v>11553.2</c:v>
                </c:pt>
                <c:pt idx="3">
                  <c:v>15083.4</c:v>
                </c:pt>
                <c:pt idx="4">
                  <c:v>10656.4</c:v>
                </c:pt>
                <c:pt idx="5">
                  <c:v>13638.9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14-4597-BE4E-F63377425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axId val="1910059424"/>
        <c:axId val="1910061344"/>
      </c:barChart>
      <c:catAx>
        <c:axId val="1910059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10061344"/>
        <c:crosses val="autoZero"/>
        <c:auto val="1"/>
        <c:lblAlgn val="ctr"/>
        <c:lblOffset val="100"/>
        <c:noMultiLvlLbl val="0"/>
      </c:catAx>
      <c:valAx>
        <c:axId val="191006134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10059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📊 ÉVOLUTION HISTORIQUE DU 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Récapitulatif!$F$36:$F$43</c:f>
              <c:strCache>
                <c:ptCount val="8"/>
                <c:pt idx="0">
                  <c:v>2019/2020</c:v>
                </c:pt>
                <c:pt idx="1">
                  <c:v>2020/2021</c:v>
                </c:pt>
                <c:pt idx="2">
                  <c:v>2021/2022</c:v>
                </c:pt>
                <c:pt idx="3">
                  <c:v>2022/2023</c:v>
                </c:pt>
                <c:pt idx="4">
                  <c:v>2023/2024</c:v>
                </c:pt>
                <c:pt idx="5">
                  <c:v>2024/2025</c:v>
                </c:pt>
                <c:pt idx="6">
                  <c:v>2025/2026</c:v>
                </c:pt>
                <c:pt idx="7">
                  <c:v>2026/2027</c:v>
                </c:pt>
              </c:strCache>
            </c:strRef>
          </c:cat>
          <c:val>
            <c:numRef>
              <c:f>Récapitulatif!$G$36:$G$43</c:f>
              <c:numCache>
                <c:formatCode>#\ ##0.00\ "€"</c:formatCode>
                <c:ptCount val="8"/>
                <c:pt idx="0">
                  <c:v>132876</c:v>
                </c:pt>
                <c:pt idx="1">
                  <c:v>160691.20000000007</c:v>
                </c:pt>
                <c:pt idx="2">
                  <c:v>158658.80000000008</c:v>
                </c:pt>
                <c:pt idx="3">
                  <c:v>152615.19000000009</c:v>
                </c:pt>
                <c:pt idx="4">
                  <c:v>128576.95000000001</c:v>
                </c:pt>
                <c:pt idx="5">
                  <c:v>151284.6</c:v>
                </c:pt>
                <c:pt idx="6">
                  <c:v>78275.7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2-4407-8C5A-43D1357965A0}"/>
            </c:ext>
          </c:extLst>
        </c:ser>
        <c:ser>
          <c:idx val="1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Récapitulatif!$F$36:$F$43</c:f>
              <c:strCache>
                <c:ptCount val="8"/>
                <c:pt idx="0">
                  <c:v>2019/2020</c:v>
                </c:pt>
                <c:pt idx="1">
                  <c:v>2020/2021</c:v>
                </c:pt>
                <c:pt idx="2">
                  <c:v>2021/2022</c:v>
                </c:pt>
                <c:pt idx="3">
                  <c:v>2022/2023</c:v>
                </c:pt>
                <c:pt idx="4">
                  <c:v>2023/2024</c:v>
                </c:pt>
                <c:pt idx="5">
                  <c:v>2024/2025</c:v>
                </c:pt>
                <c:pt idx="6">
                  <c:v>2025/2026</c:v>
                </c:pt>
                <c:pt idx="7">
                  <c:v>2026/2027</c:v>
                </c:pt>
              </c:strCache>
            </c:strRef>
          </c:cat>
          <c:val>
            <c:numRef>
              <c:f>Récapitulatif!$H$36:$H$43</c:f>
              <c:numCache>
                <c:formatCode>#\ ##0.00\ "€"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4692-4407-8C5A-43D135796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72005007"/>
        <c:axId val="1798107151"/>
      </c:barChart>
      <c:catAx>
        <c:axId val="187200500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98107151"/>
        <c:crosses val="autoZero"/>
        <c:auto val="1"/>
        <c:lblAlgn val="ctr"/>
        <c:lblOffset val="100"/>
        <c:noMultiLvlLbl val="0"/>
      </c:catAx>
      <c:valAx>
        <c:axId val="17981071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€&quot;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72005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8</xdr:row>
          <xdr:rowOff>114300</xdr:rowOff>
        </xdr:from>
        <xdr:to>
          <xdr:col>5</xdr:col>
          <xdr:colOff>777240</xdr:colOff>
          <xdr:row>10</xdr:row>
          <xdr:rowOff>68580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0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📊 Récapitulatif Mensuel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11</xdr:row>
          <xdr:rowOff>114300</xdr:rowOff>
        </xdr:from>
        <xdr:to>
          <xdr:col>3</xdr:col>
          <xdr:colOff>891540</xdr:colOff>
          <xdr:row>13</xdr:row>
          <xdr:rowOff>60960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0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Juillet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11</xdr:row>
          <xdr:rowOff>114300</xdr:rowOff>
        </xdr:from>
        <xdr:to>
          <xdr:col>5</xdr:col>
          <xdr:colOff>7620</xdr:colOff>
          <xdr:row>13</xdr:row>
          <xdr:rowOff>60960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0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Août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11</xdr:row>
          <xdr:rowOff>114300</xdr:rowOff>
        </xdr:from>
        <xdr:to>
          <xdr:col>6</xdr:col>
          <xdr:colOff>137160</xdr:colOff>
          <xdr:row>13</xdr:row>
          <xdr:rowOff>60960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0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Septembre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13</xdr:row>
          <xdr:rowOff>129540</xdr:rowOff>
        </xdr:from>
        <xdr:to>
          <xdr:col>3</xdr:col>
          <xdr:colOff>891540</xdr:colOff>
          <xdr:row>15</xdr:row>
          <xdr:rowOff>76200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0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Octobre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13</xdr:row>
          <xdr:rowOff>129540</xdr:rowOff>
        </xdr:from>
        <xdr:to>
          <xdr:col>5</xdr:col>
          <xdr:colOff>7620</xdr:colOff>
          <xdr:row>15</xdr:row>
          <xdr:rowOff>76200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0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Novembre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13</xdr:row>
          <xdr:rowOff>129540</xdr:rowOff>
        </xdr:from>
        <xdr:to>
          <xdr:col>6</xdr:col>
          <xdr:colOff>137160</xdr:colOff>
          <xdr:row>15</xdr:row>
          <xdr:rowOff>76200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0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Décembre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15</xdr:row>
          <xdr:rowOff>144780</xdr:rowOff>
        </xdr:from>
        <xdr:to>
          <xdr:col>3</xdr:col>
          <xdr:colOff>891540</xdr:colOff>
          <xdr:row>17</xdr:row>
          <xdr:rowOff>53340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0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Janvier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15</xdr:row>
          <xdr:rowOff>144780</xdr:rowOff>
        </xdr:from>
        <xdr:to>
          <xdr:col>5</xdr:col>
          <xdr:colOff>7620</xdr:colOff>
          <xdr:row>17</xdr:row>
          <xdr:rowOff>53340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0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Février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15</xdr:row>
          <xdr:rowOff>144780</xdr:rowOff>
        </xdr:from>
        <xdr:to>
          <xdr:col>6</xdr:col>
          <xdr:colOff>137160</xdr:colOff>
          <xdr:row>17</xdr:row>
          <xdr:rowOff>53340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0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Mars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17</xdr:row>
          <xdr:rowOff>121920</xdr:rowOff>
        </xdr:from>
        <xdr:to>
          <xdr:col>3</xdr:col>
          <xdr:colOff>891540</xdr:colOff>
          <xdr:row>19</xdr:row>
          <xdr:rowOff>68580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0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Avril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17</xdr:row>
          <xdr:rowOff>121920</xdr:rowOff>
        </xdr:from>
        <xdr:to>
          <xdr:col>5</xdr:col>
          <xdr:colOff>7620</xdr:colOff>
          <xdr:row>19</xdr:row>
          <xdr:rowOff>68580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0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Mai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17</xdr:row>
          <xdr:rowOff>121920</xdr:rowOff>
        </xdr:from>
        <xdr:to>
          <xdr:col>6</xdr:col>
          <xdr:colOff>137160</xdr:colOff>
          <xdr:row>19</xdr:row>
          <xdr:rowOff>68580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0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Juin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20</xdr:row>
          <xdr:rowOff>83820</xdr:rowOff>
        </xdr:from>
        <xdr:to>
          <xdr:col>4</xdr:col>
          <xdr:colOff>381000</xdr:colOff>
          <xdr:row>20</xdr:row>
          <xdr:rowOff>403860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0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Export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20</xdr:row>
          <xdr:rowOff>83820</xdr:rowOff>
        </xdr:from>
        <xdr:to>
          <xdr:col>5</xdr:col>
          <xdr:colOff>815340</xdr:colOff>
          <xdr:row>20</xdr:row>
          <xdr:rowOff>403860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0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Envoyer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99060</xdr:colOff>
          <xdr:row>20</xdr:row>
          <xdr:rowOff>541020</xdr:rowOff>
        </xdr:from>
        <xdr:to>
          <xdr:col>3</xdr:col>
          <xdr:colOff>906780</xdr:colOff>
          <xdr:row>21</xdr:row>
          <xdr:rowOff>99060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0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23/24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20</xdr:row>
          <xdr:rowOff>541020</xdr:rowOff>
        </xdr:from>
        <xdr:to>
          <xdr:col>4</xdr:col>
          <xdr:colOff>838200</xdr:colOff>
          <xdr:row>21</xdr:row>
          <xdr:rowOff>99060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0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24/25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960120</xdr:colOff>
          <xdr:row>20</xdr:row>
          <xdr:rowOff>541020</xdr:rowOff>
        </xdr:from>
        <xdr:to>
          <xdr:col>5</xdr:col>
          <xdr:colOff>762000</xdr:colOff>
          <xdr:row>21</xdr:row>
          <xdr:rowOff>99060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0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25/26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327660</xdr:colOff>
          <xdr:row>3</xdr:row>
          <xdr:rowOff>91440</xdr:rowOff>
        </xdr:from>
        <xdr:to>
          <xdr:col>6</xdr:col>
          <xdr:colOff>556260</xdr:colOff>
          <xdr:row>5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?? 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0</xdr:row>
          <xdr:rowOff>121920</xdr:rowOff>
        </xdr:from>
        <xdr:to>
          <xdr:col>0</xdr:col>
          <xdr:colOff>1143000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?? 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297180</xdr:colOff>
      <xdr:row>14</xdr:row>
      <xdr:rowOff>22860</xdr:rowOff>
    </xdr:from>
    <xdr:to>
      <xdr:col>14</xdr:col>
      <xdr:colOff>708660</xdr:colOff>
      <xdr:row>28</xdr:row>
      <xdr:rowOff>148590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84ABE6C-CE57-4561-834E-520F03BCCD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845820</xdr:colOff>
      <xdr:row>44</xdr:row>
      <xdr:rowOff>19050</xdr:rowOff>
    </xdr:from>
    <xdr:to>
      <xdr:col>14</xdr:col>
      <xdr:colOff>457200</xdr:colOff>
      <xdr:row>60</xdr:row>
      <xdr:rowOff>152400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1F91524F-D2EE-AF2B-92FE-6504E69DF9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4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4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4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4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4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4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4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1047" name="AutoShape 23">
          <a:extLst>
            <a:ext uri="{FF2B5EF4-FFF2-40B4-BE49-F238E27FC236}">
              <a16:creationId xmlns:a16="http://schemas.microsoft.com/office/drawing/2014/main" id="{4726DBFB-37CA-E3A4-15B3-17DB27707EEF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2020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1048" name="AutoShape 24">
          <a:extLst>
            <a:ext uri="{FF2B5EF4-FFF2-40B4-BE49-F238E27FC236}">
              <a16:creationId xmlns:a16="http://schemas.microsoft.com/office/drawing/2014/main" id="{1EBEFE35-1EC2-A6FA-E6C0-BCB93D70EF6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8125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05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05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67587" name="Button 3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05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67588" name="Button 4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05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67589" name="Button 5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05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67590" name="Button 6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05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67591" name="Button 7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05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67592" name="Button 8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05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67593" name="Button 9" hidden="1">
              <a:extLst>
                <a:ext uri="{63B3BB69-23CF-44E3-9099-C40C66FF867C}">
                  <a14:compatExt spid="_x0000_s67593"/>
                </a:ext>
                <a:ext uri="{FF2B5EF4-FFF2-40B4-BE49-F238E27FC236}">
                  <a16:creationId xmlns:a16="http://schemas.microsoft.com/office/drawing/2014/main" id="{00000000-0008-0000-0500-000009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67594" name="Button 10" hidden="1">
              <a:extLst>
                <a:ext uri="{63B3BB69-23CF-44E3-9099-C40C66FF867C}">
                  <a14:compatExt spid="_x0000_s67594"/>
                </a:ext>
                <a:ext uri="{FF2B5EF4-FFF2-40B4-BE49-F238E27FC236}">
                  <a16:creationId xmlns:a16="http://schemas.microsoft.com/office/drawing/2014/main" id="{00000000-0008-0000-0500-00000A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67595" name="Button 11" hidden="1">
              <a:extLst>
                <a:ext uri="{63B3BB69-23CF-44E3-9099-C40C66FF867C}">
                  <a14:compatExt spid="_x0000_s67595"/>
                </a:ext>
                <a:ext uri="{FF2B5EF4-FFF2-40B4-BE49-F238E27FC236}">
                  <a16:creationId xmlns:a16="http://schemas.microsoft.com/office/drawing/2014/main" id="{00000000-0008-0000-0500-00000B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67596" name="Button 12" hidden="1">
              <a:extLst>
                <a:ext uri="{63B3BB69-23CF-44E3-9099-C40C66FF867C}">
                  <a14:compatExt spid="_x0000_s67596"/>
                </a:ext>
                <a:ext uri="{FF2B5EF4-FFF2-40B4-BE49-F238E27FC236}">
                  <a16:creationId xmlns:a16="http://schemas.microsoft.com/office/drawing/2014/main" id="{00000000-0008-0000-0500-00000C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FD9E01DF-8057-4FE4-AB15-9F0FFD1A7EC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AD07EBF2-AA02-4958-A019-FCAEFF60531E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6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06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68611" name="Button 3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06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68612" name="Button 4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06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68613" name="Button 5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06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68614" name="Button 6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06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68615" name="Button 7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06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68616" name="Button 8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06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68617" name="Button 9" hidden="1">
              <a:extLst>
                <a:ext uri="{63B3BB69-23CF-44E3-9099-C40C66FF867C}">
                  <a14:compatExt spid="_x0000_s68617"/>
                </a:ext>
                <a:ext uri="{FF2B5EF4-FFF2-40B4-BE49-F238E27FC236}">
                  <a16:creationId xmlns:a16="http://schemas.microsoft.com/office/drawing/2014/main" id="{00000000-0008-0000-0600-00000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68618" name="Button 10" hidden="1">
              <a:extLst>
                <a:ext uri="{63B3BB69-23CF-44E3-9099-C40C66FF867C}">
                  <a14:compatExt spid="_x0000_s68618"/>
                </a:ext>
                <a:ext uri="{FF2B5EF4-FFF2-40B4-BE49-F238E27FC236}">
                  <a16:creationId xmlns:a16="http://schemas.microsoft.com/office/drawing/2014/main" id="{00000000-0008-0000-0600-00000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68619" name="Button 11" hidden="1">
              <a:extLst>
                <a:ext uri="{63B3BB69-23CF-44E3-9099-C40C66FF867C}">
                  <a14:compatExt spid="_x0000_s68619"/>
                </a:ext>
                <a:ext uri="{FF2B5EF4-FFF2-40B4-BE49-F238E27FC236}">
                  <a16:creationId xmlns:a16="http://schemas.microsoft.com/office/drawing/2014/main" id="{00000000-0008-0000-0600-00000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68620" name="Button 12" hidden="1">
              <a:extLst>
                <a:ext uri="{63B3BB69-23CF-44E3-9099-C40C66FF867C}">
                  <a14:compatExt spid="_x0000_s68620"/>
                </a:ext>
                <a:ext uri="{FF2B5EF4-FFF2-40B4-BE49-F238E27FC236}">
                  <a16:creationId xmlns:a16="http://schemas.microsoft.com/office/drawing/2014/main" id="{00000000-0008-0000-0600-00000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D6F194DA-DD63-462F-BA57-D94CBD34E913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5C3FA3BA-9D08-474D-84FB-729E3ED9D1E5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7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07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69635" name="Button 3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07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69636" name="Button 4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07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69637" name="Button 5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07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69638" name="Button 6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07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69639" name="Button 7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07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69640" name="Button 8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07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69641" name="Button 9" hidden="1">
              <a:extLst>
                <a:ext uri="{63B3BB69-23CF-44E3-9099-C40C66FF867C}">
                  <a14:compatExt spid="_x0000_s69641"/>
                </a:ext>
                <a:ext uri="{FF2B5EF4-FFF2-40B4-BE49-F238E27FC236}">
                  <a16:creationId xmlns:a16="http://schemas.microsoft.com/office/drawing/2014/main" id="{00000000-0008-0000-0700-00000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69642" name="Button 10" hidden="1">
              <a:extLst>
                <a:ext uri="{63B3BB69-23CF-44E3-9099-C40C66FF867C}">
                  <a14:compatExt spid="_x0000_s69642"/>
                </a:ext>
                <a:ext uri="{FF2B5EF4-FFF2-40B4-BE49-F238E27FC236}">
                  <a16:creationId xmlns:a16="http://schemas.microsoft.com/office/drawing/2014/main" id="{00000000-0008-0000-0700-00000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69643" name="Button 11" hidden="1">
              <a:extLst>
                <a:ext uri="{63B3BB69-23CF-44E3-9099-C40C66FF867C}">
                  <a14:compatExt spid="_x0000_s69643"/>
                </a:ext>
                <a:ext uri="{FF2B5EF4-FFF2-40B4-BE49-F238E27FC236}">
                  <a16:creationId xmlns:a16="http://schemas.microsoft.com/office/drawing/2014/main" id="{00000000-0008-0000-0700-00000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69644" name="Button 12" hidden="1">
              <a:extLst>
                <a:ext uri="{63B3BB69-23CF-44E3-9099-C40C66FF867C}">
                  <a14:compatExt spid="_x0000_s69644"/>
                </a:ext>
                <a:ext uri="{FF2B5EF4-FFF2-40B4-BE49-F238E27FC236}">
                  <a16:creationId xmlns:a16="http://schemas.microsoft.com/office/drawing/2014/main" id="{00000000-0008-0000-0700-00000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7EA17E72-2FCD-4BFE-8D46-21AD8B1A962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AD871810-3E85-4D5C-A877-83BB4B2C5907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8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0800-00000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0659" name="Button 3" hidden="1">
              <a:extLst>
                <a:ext uri="{63B3BB69-23CF-44E3-9099-C40C66FF867C}">
                  <a14:compatExt spid="_x0000_s70659"/>
                </a:ext>
                <a:ext uri="{FF2B5EF4-FFF2-40B4-BE49-F238E27FC236}">
                  <a16:creationId xmlns:a16="http://schemas.microsoft.com/office/drawing/2014/main" id="{00000000-0008-0000-0800-00000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0660" name="Button 4" hidden="1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00000000-0008-0000-0800-00000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0661" name="Button 5" hidden="1">
              <a:extLst>
                <a:ext uri="{63B3BB69-23CF-44E3-9099-C40C66FF867C}">
                  <a14:compatExt spid="_x0000_s70661"/>
                </a:ext>
                <a:ext uri="{FF2B5EF4-FFF2-40B4-BE49-F238E27FC236}">
                  <a16:creationId xmlns:a16="http://schemas.microsoft.com/office/drawing/2014/main" id="{00000000-0008-0000-0800-00000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0662" name="Button 6" hidden="1">
              <a:extLst>
                <a:ext uri="{63B3BB69-23CF-44E3-9099-C40C66FF867C}">
                  <a14:compatExt spid="_x0000_s70662"/>
                </a:ext>
                <a:ext uri="{FF2B5EF4-FFF2-40B4-BE49-F238E27FC236}">
                  <a16:creationId xmlns:a16="http://schemas.microsoft.com/office/drawing/2014/main" id="{00000000-0008-0000-0800-00000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0663" name="Button 7" hidden="1">
              <a:extLst>
                <a:ext uri="{63B3BB69-23CF-44E3-9099-C40C66FF867C}">
                  <a14:compatExt spid="_x0000_s70663"/>
                </a:ext>
                <a:ext uri="{FF2B5EF4-FFF2-40B4-BE49-F238E27FC236}">
                  <a16:creationId xmlns:a16="http://schemas.microsoft.com/office/drawing/2014/main" id="{00000000-0008-0000-0800-00000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0664" name="Button 8" hidden="1">
              <a:extLst>
                <a:ext uri="{63B3BB69-23CF-44E3-9099-C40C66FF867C}">
                  <a14:compatExt spid="_x0000_s70664"/>
                </a:ext>
                <a:ext uri="{FF2B5EF4-FFF2-40B4-BE49-F238E27FC236}">
                  <a16:creationId xmlns:a16="http://schemas.microsoft.com/office/drawing/2014/main" id="{00000000-0008-0000-0800-00000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0665" name="Button 9" hidden="1">
              <a:extLst>
                <a:ext uri="{63B3BB69-23CF-44E3-9099-C40C66FF867C}">
                  <a14:compatExt spid="_x0000_s70665"/>
                </a:ext>
                <a:ext uri="{FF2B5EF4-FFF2-40B4-BE49-F238E27FC236}">
                  <a16:creationId xmlns:a16="http://schemas.microsoft.com/office/drawing/2014/main" id="{00000000-0008-0000-0800-00000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0666" name="Button 10" hidden="1">
              <a:extLst>
                <a:ext uri="{63B3BB69-23CF-44E3-9099-C40C66FF867C}">
                  <a14:compatExt spid="_x0000_s70666"/>
                </a:ext>
                <a:ext uri="{FF2B5EF4-FFF2-40B4-BE49-F238E27FC236}">
                  <a16:creationId xmlns:a16="http://schemas.microsoft.com/office/drawing/2014/main" id="{00000000-0008-0000-0800-00000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0667" name="Button 11" hidden="1">
              <a:extLst>
                <a:ext uri="{63B3BB69-23CF-44E3-9099-C40C66FF867C}">
                  <a14:compatExt spid="_x0000_s70667"/>
                </a:ext>
                <a:ext uri="{FF2B5EF4-FFF2-40B4-BE49-F238E27FC236}">
                  <a16:creationId xmlns:a16="http://schemas.microsoft.com/office/drawing/2014/main" id="{00000000-0008-0000-0800-00000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0668" name="Button 12" hidden="1">
              <a:extLst>
                <a:ext uri="{63B3BB69-23CF-44E3-9099-C40C66FF867C}">
                  <a14:compatExt spid="_x0000_s70668"/>
                </a:ext>
                <a:ext uri="{FF2B5EF4-FFF2-40B4-BE49-F238E27FC236}">
                  <a16:creationId xmlns:a16="http://schemas.microsoft.com/office/drawing/2014/main" id="{00000000-0008-0000-0800-00000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7C6262B5-C2AD-4FF8-BAA9-9F720FAC7114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02493704-79D5-44DE-88E0-CB623BE7A10D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9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1682" name="Button 2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9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1683" name="Button 3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9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1684" name="Button 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09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1685" name="Button 5" hidden="1">
              <a:extLst>
                <a:ext uri="{63B3BB69-23CF-44E3-9099-C40C66FF867C}">
                  <a14:compatExt spid="_x0000_s71685"/>
                </a:ext>
                <a:ext uri="{FF2B5EF4-FFF2-40B4-BE49-F238E27FC236}">
                  <a16:creationId xmlns:a16="http://schemas.microsoft.com/office/drawing/2014/main" id="{00000000-0008-0000-0900-00000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1686" name="Button 6" hidden="1">
              <a:extLst>
                <a:ext uri="{63B3BB69-23CF-44E3-9099-C40C66FF867C}">
                  <a14:compatExt spid="_x0000_s71686"/>
                </a:ext>
                <a:ext uri="{FF2B5EF4-FFF2-40B4-BE49-F238E27FC236}">
                  <a16:creationId xmlns:a16="http://schemas.microsoft.com/office/drawing/2014/main" id="{00000000-0008-0000-0900-00000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1687" name="Button 7" hidden="1">
              <a:extLst>
                <a:ext uri="{63B3BB69-23CF-44E3-9099-C40C66FF867C}">
                  <a14:compatExt spid="_x0000_s71687"/>
                </a:ext>
                <a:ext uri="{FF2B5EF4-FFF2-40B4-BE49-F238E27FC236}">
                  <a16:creationId xmlns:a16="http://schemas.microsoft.com/office/drawing/2014/main" id="{00000000-0008-0000-0900-00000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1688" name="Button 8" hidden="1">
              <a:extLst>
                <a:ext uri="{63B3BB69-23CF-44E3-9099-C40C66FF867C}">
                  <a14:compatExt spid="_x0000_s71688"/>
                </a:ext>
                <a:ext uri="{FF2B5EF4-FFF2-40B4-BE49-F238E27FC236}">
                  <a16:creationId xmlns:a16="http://schemas.microsoft.com/office/drawing/2014/main" id="{00000000-0008-0000-0900-00000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1689" name="Button 9" hidden="1">
              <a:extLst>
                <a:ext uri="{63B3BB69-23CF-44E3-9099-C40C66FF867C}">
                  <a14:compatExt spid="_x0000_s71689"/>
                </a:ext>
                <a:ext uri="{FF2B5EF4-FFF2-40B4-BE49-F238E27FC236}">
                  <a16:creationId xmlns:a16="http://schemas.microsoft.com/office/drawing/2014/main" id="{00000000-0008-0000-0900-00000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1690" name="Button 10" hidden="1">
              <a:extLst>
                <a:ext uri="{63B3BB69-23CF-44E3-9099-C40C66FF867C}">
                  <a14:compatExt spid="_x0000_s71690"/>
                </a:ext>
                <a:ext uri="{FF2B5EF4-FFF2-40B4-BE49-F238E27FC236}">
                  <a16:creationId xmlns:a16="http://schemas.microsoft.com/office/drawing/2014/main" id="{00000000-0008-0000-0900-00000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1691" name="Button 11" hidden="1">
              <a:extLst>
                <a:ext uri="{63B3BB69-23CF-44E3-9099-C40C66FF867C}">
                  <a14:compatExt spid="_x0000_s71691"/>
                </a:ext>
                <a:ext uri="{FF2B5EF4-FFF2-40B4-BE49-F238E27FC236}">
                  <a16:creationId xmlns:a16="http://schemas.microsoft.com/office/drawing/2014/main" id="{00000000-0008-0000-0900-00000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1692" name="Button 12" hidden="1">
              <a:extLst>
                <a:ext uri="{63B3BB69-23CF-44E3-9099-C40C66FF867C}">
                  <a14:compatExt spid="_x0000_s71692"/>
                </a:ext>
                <a:ext uri="{FF2B5EF4-FFF2-40B4-BE49-F238E27FC236}">
                  <a16:creationId xmlns:a16="http://schemas.microsoft.com/office/drawing/2014/main" id="{00000000-0008-0000-0900-00000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2FFD7685-09F6-4DE4-91B2-D80070366124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B03B19FD-970D-4ACF-9D1C-95D34A8470B2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A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A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A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0A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2709" name="Button 5" hidden="1">
              <a:extLst>
                <a:ext uri="{63B3BB69-23CF-44E3-9099-C40C66FF867C}">
                  <a14:compatExt spid="_x0000_s72709"/>
                </a:ext>
                <a:ext uri="{FF2B5EF4-FFF2-40B4-BE49-F238E27FC236}">
                  <a16:creationId xmlns:a16="http://schemas.microsoft.com/office/drawing/2014/main" id="{00000000-0008-0000-0A00-00000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2710" name="Button 6" hidden="1">
              <a:extLst>
                <a:ext uri="{63B3BB69-23CF-44E3-9099-C40C66FF867C}">
                  <a14:compatExt spid="_x0000_s72710"/>
                </a:ext>
                <a:ext uri="{FF2B5EF4-FFF2-40B4-BE49-F238E27FC236}">
                  <a16:creationId xmlns:a16="http://schemas.microsoft.com/office/drawing/2014/main" id="{00000000-0008-0000-0A00-00000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2711" name="Button 7" hidden="1">
              <a:extLst>
                <a:ext uri="{63B3BB69-23CF-44E3-9099-C40C66FF867C}">
                  <a14:compatExt spid="_x0000_s72711"/>
                </a:ext>
                <a:ext uri="{FF2B5EF4-FFF2-40B4-BE49-F238E27FC236}">
                  <a16:creationId xmlns:a16="http://schemas.microsoft.com/office/drawing/2014/main" id="{00000000-0008-0000-0A00-00000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2712" name="Button 8" hidden="1">
              <a:extLst>
                <a:ext uri="{63B3BB69-23CF-44E3-9099-C40C66FF867C}">
                  <a14:compatExt spid="_x0000_s72712"/>
                </a:ext>
                <a:ext uri="{FF2B5EF4-FFF2-40B4-BE49-F238E27FC236}">
                  <a16:creationId xmlns:a16="http://schemas.microsoft.com/office/drawing/2014/main" id="{00000000-0008-0000-0A00-00000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2713" name="Button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0A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2714" name="Button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0A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2715" name="Button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0A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2716" name="Button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0A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957C8294-4256-434E-B4B4-6D6D775E6DA3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F2722DFB-93CA-49F3-A416-C00BDA1071A1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B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B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B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B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B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B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B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B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B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B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B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B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AC8EED46-CF8F-454F-AC7A-60BE956E45D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FB3C32CA-C874-48D2-8A3F-66B965EB3DA2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C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C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C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C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C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C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C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C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C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C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C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C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212E99A4-7FFD-4D0D-8396-C6C899EBFE0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A4408FA1-2FA2-4C14-81D4-FDC708EDCD26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D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0D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0D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0D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5781" name="Button 5" hidden="1">
              <a:extLst>
                <a:ext uri="{63B3BB69-23CF-44E3-9099-C40C66FF867C}">
                  <a14:compatExt spid="_x0000_s75781"/>
                </a:ext>
                <a:ext uri="{FF2B5EF4-FFF2-40B4-BE49-F238E27FC236}">
                  <a16:creationId xmlns:a16="http://schemas.microsoft.com/office/drawing/2014/main" id="{00000000-0008-0000-0D00-00000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5782" name="Button 6" hidden="1">
              <a:extLst>
                <a:ext uri="{63B3BB69-23CF-44E3-9099-C40C66FF867C}">
                  <a14:compatExt spid="_x0000_s75782"/>
                </a:ext>
                <a:ext uri="{FF2B5EF4-FFF2-40B4-BE49-F238E27FC236}">
                  <a16:creationId xmlns:a16="http://schemas.microsoft.com/office/drawing/2014/main" id="{00000000-0008-0000-0D00-00000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5783" name="Button 7" hidden="1">
              <a:extLst>
                <a:ext uri="{63B3BB69-23CF-44E3-9099-C40C66FF867C}">
                  <a14:compatExt spid="_x0000_s75783"/>
                </a:ext>
                <a:ext uri="{FF2B5EF4-FFF2-40B4-BE49-F238E27FC236}">
                  <a16:creationId xmlns:a16="http://schemas.microsoft.com/office/drawing/2014/main" id="{00000000-0008-0000-0D00-00000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5784" name="Button 8" hidden="1">
              <a:extLst>
                <a:ext uri="{63B3BB69-23CF-44E3-9099-C40C66FF867C}">
                  <a14:compatExt spid="_x0000_s75784"/>
                </a:ext>
                <a:ext uri="{FF2B5EF4-FFF2-40B4-BE49-F238E27FC236}">
                  <a16:creationId xmlns:a16="http://schemas.microsoft.com/office/drawing/2014/main" id="{00000000-0008-0000-0D00-00000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5785" name="Button 9" hidden="1">
              <a:extLst>
                <a:ext uri="{63B3BB69-23CF-44E3-9099-C40C66FF867C}">
                  <a14:compatExt spid="_x0000_s75785"/>
                </a:ext>
                <a:ext uri="{FF2B5EF4-FFF2-40B4-BE49-F238E27FC236}">
                  <a16:creationId xmlns:a16="http://schemas.microsoft.com/office/drawing/2014/main" id="{00000000-0008-0000-0D00-00000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5786" name="Button 10" hidden="1">
              <a:extLst>
                <a:ext uri="{63B3BB69-23CF-44E3-9099-C40C66FF867C}">
                  <a14:compatExt spid="_x0000_s75786"/>
                </a:ext>
                <a:ext uri="{FF2B5EF4-FFF2-40B4-BE49-F238E27FC236}">
                  <a16:creationId xmlns:a16="http://schemas.microsoft.com/office/drawing/2014/main" id="{00000000-0008-0000-0D00-00000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5787" name="Button 11" hidden="1">
              <a:extLst>
                <a:ext uri="{63B3BB69-23CF-44E3-9099-C40C66FF867C}">
                  <a14:compatExt spid="_x0000_s75787"/>
                </a:ext>
                <a:ext uri="{FF2B5EF4-FFF2-40B4-BE49-F238E27FC236}">
                  <a16:creationId xmlns:a16="http://schemas.microsoft.com/office/drawing/2014/main" id="{00000000-0008-0000-0D00-00000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5788" name="Button 12" hidden="1">
              <a:extLst>
                <a:ext uri="{63B3BB69-23CF-44E3-9099-C40C66FF867C}">
                  <a14:compatExt spid="_x0000_s75788"/>
                </a:ext>
                <a:ext uri="{FF2B5EF4-FFF2-40B4-BE49-F238E27FC236}">
                  <a16:creationId xmlns:a16="http://schemas.microsoft.com/office/drawing/2014/main" id="{00000000-0008-0000-0D00-00000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9664E94D-3476-4C49-BC8B-85E51AB1F9B0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A09093CC-EC10-4E85-9FAB-55EA3121664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E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0E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6803" name="Button 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0E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0E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6805" name="Button 5" hidden="1">
              <a:extLst>
                <a:ext uri="{63B3BB69-23CF-44E3-9099-C40C66FF867C}">
                  <a14:compatExt spid="_x0000_s76805"/>
                </a:ext>
                <a:ext uri="{FF2B5EF4-FFF2-40B4-BE49-F238E27FC236}">
                  <a16:creationId xmlns:a16="http://schemas.microsoft.com/office/drawing/2014/main" id="{00000000-0008-0000-0E00-00000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6806" name="Button 6" hidden="1">
              <a:extLst>
                <a:ext uri="{63B3BB69-23CF-44E3-9099-C40C66FF867C}">
                  <a14:compatExt spid="_x0000_s76806"/>
                </a:ext>
                <a:ext uri="{FF2B5EF4-FFF2-40B4-BE49-F238E27FC236}">
                  <a16:creationId xmlns:a16="http://schemas.microsoft.com/office/drawing/2014/main" id="{00000000-0008-0000-0E00-00000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6807" name="Button 7" hidden="1">
              <a:extLst>
                <a:ext uri="{63B3BB69-23CF-44E3-9099-C40C66FF867C}">
                  <a14:compatExt spid="_x0000_s76807"/>
                </a:ext>
                <a:ext uri="{FF2B5EF4-FFF2-40B4-BE49-F238E27FC236}">
                  <a16:creationId xmlns:a16="http://schemas.microsoft.com/office/drawing/2014/main" id="{00000000-0008-0000-0E00-00000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6808" name="Button 8" hidden="1">
              <a:extLst>
                <a:ext uri="{63B3BB69-23CF-44E3-9099-C40C66FF867C}">
                  <a14:compatExt spid="_x0000_s76808"/>
                </a:ext>
                <a:ext uri="{FF2B5EF4-FFF2-40B4-BE49-F238E27FC236}">
                  <a16:creationId xmlns:a16="http://schemas.microsoft.com/office/drawing/2014/main" id="{00000000-0008-0000-0E00-00000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6809" name="Button 9" hidden="1">
              <a:extLst>
                <a:ext uri="{63B3BB69-23CF-44E3-9099-C40C66FF867C}">
                  <a14:compatExt spid="_x0000_s76809"/>
                </a:ext>
                <a:ext uri="{FF2B5EF4-FFF2-40B4-BE49-F238E27FC236}">
                  <a16:creationId xmlns:a16="http://schemas.microsoft.com/office/drawing/2014/main" id="{00000000-0008-0000-0E00-00000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6810" name="Button 10" hidden="1">
              <a:extLst>
                <a:ext uri="{63B3BB69-23CF-44E3-9099-C40C66FF867C}">
                  <a14:compatExt spid="_x0000_s76810"/>
                </a:ext>
                <a:ext uri="{FF2B5EF4-FFF2-40B4-BE49-F238E27FC236}">
                  <a16:creationId xmlns:a16="http://schemas.microsoft.com/office/drawing/2014/main" id="{00000000-0008-0000-0E00-00000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6811" name="Button 11" hidden="1">
              <a:extLst>
                <a:ext uri="{63B3BB69-23CF-44E3-9099-C40C66FF867C}">
                  <a14:compatExt spid="_x0000_s76811"/>
                </a:ext>
                <a:ext uri="{FF2B5EF4-FFF2-40B4-BE49-F238E27FC236}">
                  <a16:creationId xmlns:a16="http://schemas.microsoft.com/office/drawing/2014/main" id="{00000000-0008-0000-0E00-00000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6812" name="Button 12" hidden="1">
              <a:extLst>
                <a:ext uri="{63B3BB69-23CF-44E3-9099-C40C66FF867C}">
                  <a14:compatExt spid="_x0000_s76812"/>
                </a:ext>
                <a:ext uri="{FF2B5EF4-FFF2-40B4-BE49-F238E27FC236}">
                  <a16:creationId xmlns:a16="http://schemas.microsoft.com/office/drawing/2014/main" id="{00000000-0008-0000-0E00-00000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40BD2950-EA69-40DD-AB88-83CA101D2547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511E2690-B6AC-41B3-91B9-9AC2D03AAE42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F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F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F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7828" name="Button 4" hidden="1">
              <a:extLst>
                <a:ext uri="{63B3BB69-23CF-44E3-9099-C40C66FF867C}">
                  <a14:compatExt spid="_x0000_s77828"/>
                </a:ext>
                <a:ext uri="{FF2B5EF4-FFF2-40B4-BE49-F238E27FC236}">
                  <a16:creationId xmlns:a16="http://schemas.microsoft.com/office/drawing/2014/main" id="{00000000-0008-0000-0F00-00000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7829" name="Button 5" hidden="1">
              <a:extLst>
                <a:ext uri="{63B3BB69-23CF-44E3-9099-C40C66FF867C}">
                  <a14:compatExt spid="_x0000_s77829"/>
                </a:ext>
                <a:ext uri="{FF2B5EF4-FFF2-40B4-BE49-F238E27FC236}">
                  <a16:creationId xmlns:a16="http://schemas.microsoft.com/office/drawing/2014/main" id="{00000000-0008-0000-0F00-00000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7830" name="Button 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0F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7831" name="Button 7" hidden="1">
              <a:extLst>
                <a:ext uri="{63B3BB69-23CF-44E3-9099-C40C66FF867C}">
                  <a14:compatExt spid="_x0000_s77831"/>
                </a:ext>
                <a:ext uri="{FF2B5EF4-FFF2-40B4-BE49-F238E27FC236}">
                  <a16:creationId xmlns:a16="http://schemas.microsoft.com/office/drawing/2014/main" id="{00000000-0008-0000-0F00-00000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7832" name="Button 8" hidden="1">
              <a:extLst>
                <a:ext uri="{63B3BB69-23CF-44E3-9099-C40C66FF867C}">
                  <a14:compatExt spid="_x0000_s77832"/>
                </a:ext>
                <a:ext uri="{FF2B5EF4-FFF2-40B4-BE49-F238E27FC236}">
                  <a16:creationId xmlns:a16="http://schemas.microsoft.com/office/drawing/2014/main" id="{00000000-0008-0000-0F00-00000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7833" name="Button 9" hidden="1">
              <a:extLst>
                <a:ext uri="{63B3BB69-23CF-44E3-9099-C40C66FF867C}">
                  <a14:compatExt spid="_x0000_s77833"/>
                </a:ext>
                <a:ext uri="{FF2B5EF4-FFF2-40B4-BE49-F238E27FC236}">
                  <a16:creationId xmlns:a16="http://schemas.microsoft.com/office/drawing/2014/main" id="{00000000-0008-0000-0F00-00000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7834" name="Button 10" hidden="1">
              <a:extLst>
                <a:ext uri="{63B3BB69-23CF-44E3-9099-C40C66FF867C}">
                  <a14:compatExt spid="_x0000_s77834"/>
                </a:ext>
                <a:ext uri="{FF2B5EF4-FFF2-40B4-BE49-F238E27FC236}">
                  <a16:creationId xmlns:a16="http://schemas.microsoft.com/office/drawing/2014/main" id="{00000000-0008-0000-0F00-00000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7835" name="Button 11" hidden="1">
              <a:extLst>
                <a:ext uri="{63B3BB69-23CF-44E3-9099-C40C66FF867C}">
                  <a14:compatExt spid="_x0000_s77835"/>
                </a:ext>
                <a:ext uri="{FF2B5EF4-FFF2-40B4-BE49-F238E27FC236}">
                  <a16:creationId xmlns:a16="http://schemas.microsoft.com/office/drawing/2014/main" id="{00000000-0008-0000-0F00-00000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7836" name="Button 12" hidden="1">
              <a:extLst>
                <a:ext uri="{63B3BB69-23CF-44E3-9099-C40C66FF867C}">
                  <a14:compatExt spid="_x0000_s77836"/>
                </a:ext>
                <a:ext uri="{FF2B5EF4-FFF2-40B4-BE49-F238E27FC236}">
                  <a16:creationId xmlns:a16="http://schemas.microsoft.com/office/drawing/2014/main" id="{00000000-0008-0000-0F00-00000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842FB88C-80CC-4295-8C12-F0A11EF29053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D2073523-3911-40B8-B0EE-4C50BE88359D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13" Type="http://schemas.openxmlformats.org/officeDocument/2006/relationships/ctrlProp" Target="../ctrlProps/ctrlProp3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4.xml"/><Relationship Id="rId12" Type="http://schemas.openxmlformats.org/officeDocument/2006/relationships/ctrlProp" Target="../ctrlProps/ctrlProp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5" Type="http://schemas.openxmlformats.org/officeDocument/2006/relationships/ctrlProp" Target="../ctrlProps/ctrlProp32.xml"/><Relationship Id="rId10" Type="http://schemas.openxmlformats.org/officeDocument/2006/relationships/ctrlProp" Target="../ctrlProps/ctrlProp27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Relationship Id="rId14" Type="http://schemas.openxmlformats.org/officeDocument/2006/relationships/ctrlProp" Target="../ctrlProps/ctrlProp3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13" Type="http://schemas.openxmlformats.org/officeDocument/2006/relationships/ctrlProp" Target="../ctrlProps/ctrlProp4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5" Type="http://schemas.openxmlformats.org/officeDocument/2006/relationships/ctrlProp" Target="../ctrlProps/ctrlProp34.xml"/><Relationship Id="rId15" Type="http://schemas.openxmlformats.org/officeDocument/2006/relationships/ctrlProp" Target="../ctrlProps/ctrlProp44.xml"/><Relationship Id="rId10" Type="http://schemas.openxmlformats.org/officeDocument/2006/relationships/ctrlProp" Target="../ctrlProps/ctrlProp39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Relationship Id="rId14" Type="http://schemas.openxmlformats.org/officeDocument/2006/relationships/ctrlProp" Target="../ctrlProps/ctrlProp4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13" Type="http://schemas.openxmlformats.org/officeDocument/2006/relationships/ctrlProp" Target="../ctrlProps/ctrlProp54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5" Type="http://schemas.openxmlformats.org/officeDocument/2006/relationships/ctrlProp" Target="../ctrlProps/ctrlProp56.xml"/><Relationship Id="rId10" Type="http://schemas.openxmlformats.org/officeDocument/2006/relationships/ctrlProp" Target="../ctrlProps/ctrlProp51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Relationship Id="rId14" Type="http://schemas.openxmlformats.org/officeDocument/2006/relationships/ctrlProp" Target="../ctrlProps/ctrlProp5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1.xml"/><Relationship Id="rId13" Type="http://schemas.openxmlformats.org/officeDocument/2006/relationships/ctrlProp" Target="../ctrlProps/ctrlProp6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60.xml"/><Relationship Id="rId12" Type="http://schemas.openxmlformats.org/officeDocument/2006/relationships/ctrlProp" Target="../ctrlProps/ctrlProp6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9.xml"/><Relationship Id="rId11" Type="http://schemas.openxmlformats.org/officeDocument/2006/relationships/ctrlProp" Target="../ctrlProps/ctrlProp64.xml"/><Relationship Id="rId5" Type="http://schemas.openxmlformats.org/officeDocument/2006/relationships/ctrlProp" Target="../ctrlProps/ctrlProp58.xml"/><Relationship Id="rId15" Type="http://schemas.openxmlformats.org/officeDocument/2006/relationships/ctrlProp" Target="../ctrlProps/ctrlProp68.xml"/><Relationship Id="rId10" Type="http://schemas.openxmlformats.org/officeDocument/2006/relationships/ctrlProp" Target="../ctrlProps/ctrlProp63.xml"/><Relationship Id="rId4" Type="http://schemas.openxmlformats.org/officeDocument/2006/relationships/ctrlProp" Target="../ctrlProps/ctrlProp57.xml"/><Relationship Id="rId9" Type="http://schemas.openxmlformats.org/officeDocument/2006/relationships/ctrlProp" Target="../ctrlProps/ctrlProp62.xml"/><Relationship Id="rId14" Type="http://schemas.openxmlformats.org/officeDocument/2006/relationships/ctrlProp" Target="../ctrlProps/ctrlProp6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3.xml"/><Relationship Id="rId13" Type="http://schemas.openxmlformats.org/officeDocument/2006/relationships/ctrlProp" Target="../ctrlProps/ctrlProp78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72.xml"/><Relationship Id="rId12" Type="http://schemas.openxmlformats.org/officeDocument/2006/relationships/ctrlProp" Target="../ctrlProps/ctrlProp7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71.xml"/><Relationship Id="rId11" Type="http://schemas.openxmlformats.org/officeDocument/2006/relationships/ctrlProp" Target="../ctrlProps/ctrlProp76.xml"/><Relationship Id="rId5" Type="http://schemas.openxmlformats.org/officeDocument/2006/relationships/ctrlProp" Target="../ctrlProps/ctrlProp70.xml"/><Relationship Id="rId15" Type="http://schemas.openxmlformats.org/officeDocument/2006/relationships/ctrlProp" Target="../ctrlProps/ctrlProp80.xml"/><Relationship Id="rId10" Type="http://schemas.openxmlformats.org/officeDocument/2006/relationships/ctrlProp" Target="../ctrlProps/ctrlProp75.xml"/><Relationship Id="rId4" Type="http://schemas.openxmlformats.org/officeDocument/2006/relationships/ctrlProp" Target="../ctrlProps/ctrlProp69.xml"/><Relationship Id="rId9" Type="http://schemas.openxmlformats.org/officeDocument/2006/relationships/ctrlProp" Target="../ctrlProps/ctrlProp74.xml"/><Relationship Id="rId14" Type="http://schemas.openxmlformats.org/officeDocument/2006/relationships/ctrlProp" Target="../ctrlProps/ctrlProp7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5.xml"/><Relationship Id="rId13" Type="http://schemas.openxmlformats.org/officeDocument/2006/relationships/ctrlProp" Target="../ctrlProps/ctrlProp90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84.xml"/><Relationship Id="rId12" Type="http://schemas.openxmlformats.org/officeDocument/2006/relationships/ctrlProp" Target="../ctrlProps/ctrlProp8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3.xml"/><Relationship Id="rId11" Type="http://schemas.openxmlformats.org/officeDocument/2006/relationships/ctrlProp" Target="../ctrlProps/ctrlProp88.xml"/><Relationship Id="rId5" Type="http://schemas.openxmlformats.org/officeDocument/2006/relationships/ctrlProp" Target="../ctrlProps/ctrlProp82.xml"/><Relationship Id="rId15" Type="http://schemas.openxmlformats.org/officeDocument/2006/relationships/ctrlProp" Target="../ctrlProps/ctrlProp92.xml"/><Relationship Id="rId10" Type="http://schemas.openxmlformats.org/officeDocument/2006/relationships/ctrlProp" Target="../ctrlProps/ctrlProp87.xml"/><Relationship Id="rId4" Type="http://schemas.openxmlformats.org/officeDocument/2006/relationships/ctrlProp" Target="../ctrlProps/ctrlProp81.xml"/><Relationship Id="rId9" Type="http://schemas.openxmlformats.org/officeDocument/2006/relationships/ctrlProp" Target="../ctrlProps/ctrlProp86.xml"/><Relationship Id="rId14" Type="http://schemas.openxmlformats.org/officeDocument/2006/relationships/ctrlProp" Target="../ctrlProps/ctrlProp91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10" Type="http://schemas.openxmlformats.org/officeDocument/2006/relationships/ctrlProp" Target="../ctrlProps/ctrlProp99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9.xml"/><Relationship Id="rId13" Type="http://schemas.openxmlformats.org/officeDocument/2006/relationships/ctrlProp" Target="../ctrlProps/ctrlProp114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08.xml"/><Relationship Id="rId12" Type="http://schemas.openxmlformats.org/officeDocument/2006/relationships/ctrlProp" Target="../ctrlProps/ctrlProp113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07.xml"/><Relationship Id="rId11" Type="http://schemas.openxmlformats.org/officeDocument/2006/relationships/ctrlProp" Target="../ctrlProps/ctrlProp112.xml"/><Relationship Id="rId5" Type="http://schemas.openxmlformats.org/officeDocument/2006/relationships/ctrlProp" Target="../ctrlProps/ctrlProp106.xml"/><Relationship Id="rId15" Type="http://schemas.openxmlformats.org/officeDocument/2006/relationships/ctrlProp" Target="../ctrlProps/ctrlProp116.xml"/><Relationship Id="rId10" Type="http://schemas.openxmlformats.org/officeDocument/2006/relationships/ctrlProp" Target="../ctrlProps/ctrlProp111.xml"/><Relationship Id="rId4" Type="http://schemas.openxmlformats.org/officeDocument/2006/relationships/ctrlProp" Target="../ctrlProps/ctrlProp105.xml"/><Relationship Id="rId9" Type="http://schemas.openxmlformats.org/officeDocument/2006/relationships/ctrlProp" Target="../ctrlProps/ctrlProp110.xml"/><Relationship Id="rId14" Type="http://schemas.openxmlformats.org/officeDocument/2006/relationships/ctrlProp" Target="../ctrlProps/ctrlProp1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1.xml"/><Relationship Id="rId13" Type="http://schemas.openxmlformats.org/officeDocument/2006/relationships/ctrlProp" Target="../ctrlProps/ctrlProp126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120.xml"/><Relationship Id="rId12" Type="http://schemas.openxmlformats.org/officeDocument/2006/relationships/ctrlProp" Target="../ctrlProps/ctrlProp12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19.xml"/><Relationship Id="rId11" Type="http://schemas.openxmlformats.org/officeDocument/2006/relationships/ctrlProp" Target="../ctrlProps/ctrlProp124.xml"/><Relationship Id="rId5" Type="http://schemas.openxmlformats.org/officeDocument/2006/relationships/ctrlProp" Target="../ctrlProps/ctrlProp118.xml"/><Relationship Id="rId15" Type="http://schemas.openxmlformats.org/officeDocument/2006/relationships/ctrlProp" Target="../ctrlProps/ctrlProp128.xml"/><Relationship Id="rId10" Type="http://schemas.openxmlformats.org/officeDocument/2006/relationships/ctrlProp" Target="../ctrlProps/ctrlProp123.xml"/><Relationship Id="rId4" Type="http://schemas.openxmlformats.org/officeDocument/2006/relationships/ctrlProp" Target="../ctrlProps/ctrlProp117.xml"/><Relationship Id="rId9" Type="http://schemas.openxmlformats.org/officeDocument/2006/relationships/ctrlProp" Target="../ctrlProps/ctrlProp122.xml"/><Relationship Id="rId14" Type="http://schemas.openxmlformats.org/officeDocument/2006/relationships/ctrlProp" Target="../ctrlProps/ctrlProp12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3.xml"/><Relationship Id="rId13" Type="http://schemas.openxmlformats.org/officeDocument/2006/relationships/ctrlProp" Target="../ctrlProps/ctrlProp138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32.xml"/><Relationship Id="rId12" Type="http://schemas.openxmlformats.org/officeDocument/2006/relationships/ctrlProp" Target="../ctrlProps/ctrlProp13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31.xml"/><Relationship Id="rId11" Type="http://schemas.openxmlformats.org/officeDocument/2006/relationships/ctrlProp" Target="../ctrlProps/ctrlProp136.xml"/><Relationship Id="rId5" Type="http://schemas.openxmlformats.org/officeDocument/2006/relationships/ctrlProp" Target="../ctrlProps/ctrlProp130.xml"/><Relationship Id="rId15" Type="http://schemas.openxmlformats.org/officeDocument/2006/relationships/ctrlProp" Target="../ctrlProps/ctrlProp140.xml"/><Relationship Id="rId10" Type="http://schemas.openxmlformats.org/officeDocument/2006/relationships/ctrlProp" Target="../ctrlProps/ctrlProp135.xml"/><Relationship Id="rId4" Type="http://schemas.openxmlformats.org/officeDocument/2006/relationships/ctrlProp" Target="../ctrlProps/ctrlProp129.xml"/><Relationship Id="rId9" Type="http://schemas.openxmlformats.org/officeDocument/2006/relationships/ctrlProp" Target="../ctrlProps/ctrlProp134.xml"/><Relationship Id="rId14" Type="http://schemas.openxmlformats.org/officeDocument/2006/relationships/ctrlProp" Target="../ctrlProps/ctrlProp13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5.xml"/><Relationship Id="rId13" Type="http://schemas.openxmlformats.org/officeDocument/2006/relationships/ctrlProp" Target="../ctrlProps/ctrlProp150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144.xml"/><Relationship Id="rId12" Type="http://schemas.openxmlformats.org/officeDocument/2006/relationships/ctrlProp" Target="../ctrlProps/ctrlProp14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43.xml"/><Relationship Id="rId11" Type="http://schemas.openxmlformats.org/officeDocument/2006/relationships/ctrlProp" Target="../ctrlProps/ctrlProp148.xml"/><Relationship Id="rId5" Type="http://schemas.openxmlformats.org/officeDocument/2006/relationships/ctrlProp" Target="../ctrlProps/ctrlProp142.xml"/><Relationship Id="rId15" Type="http://schemas.openxmlformats.org/officeDocument/2006/relationships/ctrlProp" Target="../ctrlProps/ctrlProp152.xml"/><Relationship Id="rId10" Type="http://schemas.openxmlformats.org/officeDocument/2006/relationships/ctrlProp" Target="../ctrlProps/ctrlProp147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14" Type="http://schemas.openxmlformats.org/officeDocument/2006/relationships/ctrlProp" Target="../ctrlProps/ctrlProp15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7.xml"/><Relationship Id="rId13" Type="http://schemas.openxmlformats.org/officeDocument/2006/relationships/ctrlProp" Target="../ctrlProps/ctrlProp162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156.xml"/><Relationship Id="rId12" Type="http://schemas.openxmlformats.org/officeDocument/2006/relationships/ctrlProp" Target="../ctrlProps/ctrlProp161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55.xml"/><Relationship Id="rId11" Type="http://schemas.openxmlformats.org/officeDocument/2006/relationships/ctrlProp" Target="../ctrlProps/ctrlProp160.xml"/><Relationship Id="rId5" Type="http://schemas.openxmlformats.org/officeDocument/2006/relationships/ctrlProp" Target="../ctrlProps/ctrlProp154.xml"/><Relationship Id="rId15" Type="http://schemas.openxmlformats.org/officeDocument/2006/relationships/ctrlProp" Target="../ctrlProps/ctrlProp164.xml"/><Relationship Id="rId10" Type="http://schemas.openxmlformats.org/officeDocument/2006/relationships/ctrlProp" Target="../ctrlProps/ctrlProp159.xml"/><Relationship Id="rId4" Type="http://schemas.openxmlformats.org/officeDocument/2006/relationships/ctrlProp" Target="../ctrlProps/ctrlProp153.xml"/><Relationship Id="rId9" Type="http://schemas.openxmlformats.org/officeDocument/2006/relationships/ctrlProp" Target="../ctrlProps/ctrlProp158.xml"/><Relationship Id="rId14" Type="http://schemas.openxmlformats.org/officeDocument/2006/relationships/ctrlProp" Target="../ctrlProps/ctrlProp16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115D2-44CF-4C9A-8AEF-08FBFD54D4F8}">
  <sheetPr codeName="Feuil16"/>
  <dimension ref="B2:H25"/>
  <sheetViews>
    <sheetView showGridLines="0" topLeftCell="A8" zoomScale="110" zoomScaleNormal="110" workbookViewId="0">
      <selection activeCell="H12" sqref="H12"/>
    </sheetView>
  </sheetViews>
  <sheetFormatPr baseColWidth="10" defaultRowHeight="14.4"/>
  <cols>
    <col min="1" max="1" width="2.77734375" customWidth="1"/>
    <col min="2" max="2" width="15.44140625" customWidth="1"/>
    <col min="3" max="8" width="14.77734375" customWidth="1"/>
    <col min="9" max="9" width="2.77734375" customWidth="1"/>
  </cols>
  <sheetData>
    <row r="2" spans="2:8" ht="49.95" customHeight="1">
      <c r="B2" s="73" t="s">
        <v>760</v>
      </c>
      <c r="C2" s="74"/>
      <c r="D2" s="74"/>
      <c r="E2" s="74"/>
      <c r="F2" s="74"/>
      <c r="G2" s="74"/>
      <c r="H2" s="74"/>
    </row>
    <row r="3" spans="2:8" ht="21">
      <c r="B3" s="75" t="s">
        <v>761</v>
      </c>
      <c r="C3" s="76"/>
      <c r="D3" s="76"/>
      <c r="E3" s="76"/>
      <c r="F3" s="76"/>
      <c r="G3" s="76"/>
      <c r="H3" s="76"/>
    </row>
    <row r="4" spans="2:8">
      <c r="B4" s="77" t="s">
        <v>762</v>
      </c>
      <c r="C4" s="76"/>
      <c r="D4" s="76"/>
      <c r="E4" s="76"/>
      <c r="F4" s="76"/>
      <c r="G4" s="76"/>
      <c r="H4" s="76"/>
    </row>
    <row r="6" spans="2:8" ht="30" customHeight="1">
      <c r="B6" s="78" t="s">
        <v>763</v>
      </c>
      <c r="C6" s="79"/>
      <c r="D6" s="79"/>
      <c r="E6" s="79"/>
      <c r="F6" s="79"/>
      <c r="G6" s="79"/>
      <c r="H6" s="79"/>
    </row>
    <row r="8" spans="2:8" ht="17.399999999999999">
      <c r="B8" s="80" t="s">
        <v>764</v>
      </c>
      <c r="C8" s="76"/>
      <c r="D8" s="76"/>
      <c r="E8" s="76"/>
      <c r="F8" s="76"/>
      <c r="G8" s="76"/>
      <c r="H8" s="76"/>
    </row>
    <row r="20" spans="2:8" ht="17.399999999999999">
      <c r="B20" s="71"/>
      <c r="C20" s="71"/>
      <c r="D20" s="71"/>
      <c r="E20" s="71"/>
      <c r="F20" s="71"/>
      <c r="G20" s="71"/>
      <c r="H20" s="71"/>
    </row>
    <row r="21" spans="2:8" ht="60" customHeight="1">
      <c r="B21" s="18"/>
      <c r="C21" s="18"/>
      <c r="D21" s="18"/>
      <c r="E21" s="18"/>
      <c r="F21" s="18"/>
      <c r="G21" s="18"/>
      <c r="H21" s="18"/>
    </row>
    <row r="22" spans="2:8" ht="60" customHeight="1">
      <c r="B22" s="18"/>
      <c r="C22" s="18"/>
      <c r="D22" s="18"/>
      <c r="E22" s="18"/>
      <c r="F22" s="18"/>
      <c r="G22" s="18"/>
      <c r="H22" s="18"/>
    </row>
    <row r="24" spans="2:8">
      <c r="B24" s="72"/>
      <c r="C24" s="72"/>
      <c r="D24" s="72"/>
      <c r="E24" s="19"/>
    </row>
    <row r="25" spans="2:8">
      <c r="B25" s="72"/>
      <c r="C25" s="72"/>
      <c r="D25" s="72"/>
      <c r="E25" s="20"/>
    </row>
  </sheetData>
  <mergeCells count="8">
    <mergeCell ref="B20:H20"/>
    <mergeCell ref="B24:D24"/>
    <mergeCell ref="B25:D25"/>
    <mergeCell ref="B2:H2"/>
    <mergeCell ref="B3:H3"/>
    <mergeCell ref="B4:H4"/>
    <mergeCell ref="B6:H6"/>
    <mergeCell ref="B8:H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82" r:id="rId3" name="Button 34">
              <controlPr defaultSize="0" print="0" autoFill="0" autoPict="0" macro="[0]!AllerRecapitulatif">
                <anchor moveWithCells="1" sizeWithCells="1">
                  <from>
                    <xdr:col>3</xdr:col>
                    <xdr:colOff>266700</xdr:colOff>
                    <xdr:row>8</xdr:row>
                    <xdr:rowOff>114300</xdr:rowOff>
                  </from>
                  <to>
                    <xdr:col>5</xdr:col>
                    <xdr:colOff>777240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4" name="Button 35">
              <controlPr defaultSize="0" print="0" autoFill="0" autoPict="0" macro="[0]!AllerJuillet">
                <anchor moveWithCells="1" sizeWithCells="1">
                  <from>
                    <xdr:col>2</xdr:col>
                    <xdr:colOff>891540</xdr:colOff>
                    <xdr:row>11</xdr:row>
                    <xdr:rowOff>114300</xdr:rowOff>
                  </from>
                  <to>
                    <xdr:col>3</xdr:col>
                    <xdr:colOff>891540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5" name="Button 36">
              <controlPr defaultSize="0" print="0" autoFill="0" autoPict="0" macro="[0]!AllerAout">
                <anchor moveWithCells="1" sizeWithCells="1">
                  <from>
                    <xdr:col>4</xdr:col>
                    <xdr:colOff>7620</xdr:colOff>
                    <xdr:row>11</xdr:row>
                    <xdr:rowOff>114300</xdr:rowOff>
                  </from>
                  <to>
                    <xdr:col>5</xdr:col>
                    <xdr:colOff>7620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6" name="Button 37">
              <controlPr defaultSize="0" print="0" autoFill="0" autoPict="0" macro="[0]!AllerSeptembre">
                <anchor moveWithCells="1" sizeWithCells="1">
                  <from>
                    <xdr:col>5</xdr:col>
                    <xdr:colOff>137160</xdr:colOff>
                    <xdr:row>11</xdr:row>
                    <xdr:rowOff>114300</xdr:rowOff>
                  </from>
                  <to>
                    <xdr:col>6</xdr:col>
                    <xdr:colOff>137160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7" name="Button 44">
              <controlPr defaultSize="0" print="0" autoFill="0" autoPict="0" macro="[0]!AllerAvril">
                <anchor moveWithCells="1" sizeWithCells="1">
                  <from>
                    <xdr:col>2</xdr:col>
                    <xdr:colOff>891540</xdr:colOff>
                    <xdr:row>17</xdr:row>
                    <xdr:rowOff>121920</xdr:rowOff>
                  </from>
                  <to>
                    <xdr:col>3</xdr:col>
                    <xdr:colOff>891540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8" name="Button 45">
              <controlPr defaultSize="0" print="0" autoFill="0" autoPict="0" macro="[0]!AllerMai">
                <anchor moveWithCells="1" sizeWithCells="1">
                  <from>
                    <xdr:col>4</xdr:col>
                    <xdr:colOff>7620</xdr:colOff>
                    <xdr:row>17</xdr:row>
                    <xdr:rowOff>121920</xdr:rowOff>
                  </from>
                  <to>
                    <xdr:col>5</xdr:col>
                    <xdr:colOff>7620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9" name="Button 46">
              <controlPr defaultSize="0" print="0" autoFill="0" autoPict="0" macro="[0]!AllerJuin">
                <anchor moveWithCells="1" sizeWithCells="1">
                  <from>
                    <xdr:col>5</xdr:col>
                    <xdr:colOff>137160</xdr:colOff>
                    <xdr:row>17</xdr:row>
                    <xdr:rowOff>121920</xdr:rowOff>
                  </from>
                  <to>
                    <xdr:col>6</xdr:col>
                    <xdr:colOff>137160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10" name="Button 47">
              <controlPr defaultSize="0" print="0" autoFill="0" autoPict="0" macro="[0]!ExporterRecapitulatifPDF">
                <anchor moveWithCells="1" sizeWithCells="1">
                  <from>
                    <xdr:col>3</xdr:col>
                    <xdr:colOff>76200</xdr:colOff>
                    <xdr:row>20</xdr:row>
                    <xdr:rowOff>83820</xdr:rowOff>
                  </from>
                  <to>
                    <xdr:col>4</xdr:col>
                    <xdr:colOff>381000</xdr:colOff>
                    <xdr:row>20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11" name="Button 48">
              <controlPr defaultSize="0" print="0" autoFill="0" autoPict="0" macro="[0]!EnvoyerRecapitulatifEmail">
                <anchor moveWithCells="1" sizeWithCells="1">
                  <from>
                    <xdr:col>4</xdr:col>
                    <xdr:colOff>510540</xdr:colOff>
                    <xdr:row>20</xdr:row>
                    <xdr:rowOff>83820</xdr:rowOff>
                  </from>
                  <to>
                    <xdr:col>5</xdr:col>
                    <xdr:colOff>815340</xdr:colOff>
                    <xdr:row>20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12" name="Button 49">
              <controlPr defaultSize="0" print="0" autoFill="0" autoPict="0" macro="[0]!ChangerAnnee_23_24">
                <anchor moveWithCells="1" sizeWithCells="1">
                  <from>
                    <xdr:col>3</xdr:col>
                    <xdr:colOff>99060</xdr:colOff>
                    <xdr:row>20</xdr:row>
                    <xdr:rowOff>541020</xdr:rowOff>
                  </from>
                  <to>
                    <xdr:col>3</xdr:col>
                    <xdr:colOff>906780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13" name="Button 50">
              <controlPr defaultSize="0" print="0" autoFill="0" autoPict="0" macro="[0]!ChangerAnnee_24_25">
                <anchor moveWithCells="1" sizeWithCells="1">
                  <from>
                    <xdr:col>4</xdr:col>
                    <xdr:colOff>30480</xdr:colOff>
                    <xdr:row>20</xdr:row>
                    <xdr:rowOff>541020</xdr:rowOff>
                  </from>
                  <to>
                    <xdr:col>4</xdr:col>
                    <xdr:colOff>838200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14" name="Button 51">
              <controlPr defaultSize="0" print="0" autoFill="0" autoPict="0" macro="[0]!ChangerAnnee_25_26">
                <anchor moveWithCells="1" sizeWithCells="1">
                  <from>
                    <xdr:col>4</xdr:col>
                    <xdr:colOff>960120</xdr:colOff>
                    <xdr:row>20</xdr:row>
                    <xdr:rowOff>541020</xdr:rowOff>
                  </from>
                  <to>
                    <xdr:col>5</xdr:col>
                    <xdr:colOff>762000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15" name="Button 38">
              <controlPr defaultSize="0" print="0" autoFill="0" autoPict="0" macro="[0]!AllerOctobre">
                <anchor moveWithCells="1" sizeWithCells="1">
                  <from>
                    <xdr:col>2</xdr:col>
                    <xdr:colOff>891540</xdr:colOff>
                    <xdr:row>13</xdr:row>
                    <xdr:rowOff>129540</xdr:rowOff>
                  </from>
                  <to>
                    <xdr:col>3</xdr:col>
                    <xdr:colOff>891540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16" name="Button 39">
              <controlPr defaultSize="0" print="0" autoFill="0" autoPict="0" macro="[0]!AllerNovembre">
                <anchor moveWithCells="1" sizeWithCells="1">
                  <from>
                    <xdr:col>4</xdr:col>
                    <xdr:colOff>7620</xdr:colOff>
                    <xdr:row>13</xdr:row>
                    <xdr:rowOff>129540</xdr:rowOff>
                  </from>
                  <to>
                    <xdr:col>5</xdr:col>
                    <xdr:colOff>7620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17" name="Button 40">
              <controlPr defaultSize="0" print="0" autoFill="0" autoPict="0" macro="[0]!AllerDecembre">
                <anchor moveWithCells="1" sizeWithCells="1">
                  <from>
                    <xdr:col>5</xdr:col>
                    <xdr:colOff>137160</xdr:colOff>
                    <xdr:row>13</xdr:row>
                    <xdr:rowOff>129540</xdr:rowOff>
                  </from>
                  <to>
                    <xdr:col>6</xdr:col>
                    <xdr:colOff>137160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18" name="Button 41">
              <controlPr defaultSize="0" print="0" autoFill="0" autoPict="0" macro="[0]!AllerJanvier">
                <anchor moveWithCells="1" sizeWithCells="1">
                  <from>
                    <xdr:col>2</xdr:col>
                    <xdr:colOff>891540</xdr:colOff>
                    <xdr:row>15</xdr:row>
                    <xdr:rowOff>144780</xdr:rowOff>
                  </from>
                  <to>
                    <xdr:col>3</xdr:col>
                    <xdr:colOff>891540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19" name="Button 42">
              <controlPr defaultSize="0" print="0" autoFill="0" autoPict="0" macro="[0]!AllerFevrier">
                <anchor moveWithCells="1" sizeWithCells="1">
                  <from>
                    <xdr:col>4</xdr:col>
                    <xdr:colOff>7620</xdr:colOff>
                    <xdr:row>15</xdr:row>
                    <xdr:rowOff>144780</xdr:rowOff>
                  </from>
                  <to>
                    <xdr:col>5</xdr:col>
                    <xdr:colOff>7620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20" name="Button 43">
              <controlPr defaultSize="0" print="0" autoFill="0" autoPict="0" macro="[0]!AllerMars">
                <anchor moveWithCells="1" sizeWithCells="1">
                  <from>
                    <xdr:col>5</xdr:col>
                    <xdr:colOff>137160</xdr:colOff>
                    <xdr:row>15</xdr:row>
                    <xdr:rowOff>144780</xdr:rowOff>
                  </from>
                  <to>
                    <xdr:col>6</xdr:col>
                    <xdr:colOff>137160</xdr:colOff>
                    <xdr:row>17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F23"/>
  <sheetViews>
    <sheetView workbookViewId="0">
      <selection activeCell="F14" sqref="F14"/>
    </sheetView>
  </sheetViews>
  <sheetFormatPr baseColWidth="10" defaultRowHeight="14.4"/>
  <sheetData>
    <row r="1" spans="1:6">
      <c r="A1" s="41">
        <v>2018</v>
      </c>
      <c r="B1" s="9">
        <v>45108</v>
      </c>
      <c r="C1" s="9">
        <v>45473</v>
      </c>
    </row>
    <row r="2" spans="1:6">
      <c r="A2" s="41" t="s">
        <v>1319</v>
      </c>
      <c r="B2" s="9">
        <v>45474</v>
      </c>
      <c r="C2" s="9">
        <v>45838</v>
      </c>
    </row>
    <row r="3" spans="1:6">
      <c r="A3" s="41" t="s">
        <v>1320</v>
      </c>
      <c r="B3" s="9">
        <v>45839</v>
      </c>
      <c r="C3" s="9">
        <v>46203</v>
      </c>
    </row>
    <row r="4" spans="1:6">
      <c r="A4" s="40" t="s">
        <v>1321</v>
      </c>
      <c r="B4" s="9">
        <v>46204</v>
      </c>
      <c r="C4" s="9">
        <v>46568</v>
      </c>
    </row>
    <row r="5" spans="1:6">
      <c r="A5" s="40" t="s">
        <v>1322</v>
      </c>
      <c r="B5" s="9">
        <v>46935</v>
      </c>
      <c r="C5" s="9">
        <v>46934</v>
      </c>
    </row>
    <row r="6" spans="1:6">
      <c r="A6" s="40" t="s">
        <v>1323</v>
      </c>
      <c r="B6" s="9">
        <v>47300</v>
      </c>
      <c r="C6" s="9">
        <v>47299</v>
      </c>
    </row>
    <row r="7" spans="1:6">
      <c r="A7" s="40" t="s">
        <v>1324</v>
      </c>
      <c r="B7" s="9"/>
      <c r="C7" s="9"/>
    </row>
    <row r="8" spans="1:6">
      <c r="A8" s="40" t="s">
        <v>1325</v>
      </c>
    </row>
    <row r="9" spans="1:6">
      <c r="A9" s="40" t="s">
        <v>1326</v>
      </c>
    </row>
    <row r="10" spans="1:6">
      <c r="A10" s="40" t="s">
        <v>1327</v>
      </c>
    </row>
    <row r="11" spans="1:6">
      <c r="A11" s="40" t="s">
        <v>1328</v>
      </c>
      <c r="C11" t="s">
        <v>2437</v>
      </c>
      <c r="D11" s="69">
        <v>132876</v>
      </c>
    </row>
    <row r="12" spans="1:6">
      <c r="A12" s="40" t="s">
        <v>1329</v>
      </c>
      <c r="C12" t="s">
        <v>2438</v>
      </c>
      <c r="D12" s="69">
        <v>160691.20000000001</v>
      </c>
    </row>
    <row r="13" spans="1:6">
      <c r="A13" s="40" t="s">
        <v>1330</v>
      </c>
      <c r="C13" t="s">
        <v>2439</v>
      </c>
      <c r="D13" s="69">
        <v>158658.79999999999</v>
      </c>
      <c r="F13" t="s">
        <v>2450</v>
      </c>
    </row>
    <row r="14" spans="1:6">
      <c r="A14" s="40" t="s">
        <v>1331</v>
      </c>
      <c r="C14" t="s">
        <v>2440</v>
      </c>
      <c r="D14" s="69">
        <v>152615.19</v>
      </c>
    </row>
    <row r="15" spans="1:6">
      <c r="A15" s="40" t="s">
        <v>1332</v>
      </c>
      <c r="C15" t="s">
        <v>2441</v>
      </c>
      <c r="D15" s="69">
        <v>128576.95</v>
      </c>
    </row>
    <row r="16" spans="1:6">
      <c r="A16" s="40" t="s">
        <v>1333</v>
      </c>
      <c r="C16" t="s">
        <v>2442</v>
      </c>
      <c r="D16" s="69">
        <v>151284.6</v>
      </c>
    </row>
    <row r="17" spans="1:4">
      <c r="A17" s="40" t="s">
        <v>1334</v>
      </c>
      <c r="C17" t="s">
        <v>2443</v>
      </c>
      <c r="D17" s="69"/>
    </row>
    <row r="18" spans="1:4">
      <c r="A18" s="40" t="s">
        <v>1335</v>
      </c>
      <c r="C18" t="s">
        <v>2444</v>
      </c>
      <c r="D18" s="69"/>
    </row>
    <row r="19" spans="1:4">
      <c r="A19" s="40" t="s">
        <v>1336</v>
      </c>
      <c r="D19" s="69"/>
    </row>
    <row r="20" spans="1:4">
      <c r="A20" s="41"/>
    </row>
    <row r="21" spans="1:4">
      <c r="A21" s="41"/>
    </row>
    <row r="22" spans="1:4">
      <c r="A22" s="41"/>
    </row>
    <row r="23" spans="1:4">
      <c r="A23" s="4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tourAccueil">
                <anchor moveWithCells="1" sizeWithCells="1">
                  <from>
                    <xdr:col>5</xdr:col>
                    <xdr:colOff>327660</xdr:colOff>
                    <xdr:row>3</xdr:row>
                    <xdr:rowOff>91440</xdr:rowOff>
                  </from>
                  <to>
                    <xdr:col>6</xdr:col>
                    <xdr:colOff>556260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4"/>
  <dimension ref="A1:H2735"/>
  <sheetViews>
    <sheetView topLeftCell="A112" workbookViewId="0">
      <selection activeCell="I2731" sqref="I2731"/>
    </sheetView>
  </sheetViews>
  <sheetFormatPr baseColWidth="10" defaultRowHeight="14.4"/>
  <cols>
    <col min="1" max="1" width="18.33203125" customWidth="1"/>
    <col min="3" max="3" width="11.5546875" style="9" customWidth="1"/>
  </cols>
  <sheetData>
    <row r="1" spans="1:8">
      <c r="A1" t="s">
        <v>0</v>
      </c>
      <c r="B1" t="s">
        <v>1</v>
      </c>
      <c r="C1" s="9" t="s">
        <v>2</v>
      </c>
      <c r="D1" t="s">
        <v>3</v>
      </c>
      <c r="E1" t="s">
        <v>4</v>
      </c>
      <c r="F1" t="s">
        <v>5</v>
      </c>
    </row>
    <row r="2" spans="1:8">
      <c r="A2" t="s">
        <v>6</v>
      </c>
      <c r="B2">
        <v>2024</v>
      </c>
      <c r="C2" s="9">
        <v>45475</v>
      </c>
      <c r="D2" t="s">
        <v>7</v>
      </c>
      <c r="E2" t="s">
        <v>8</v>
      </c>
      <c r="F2">
        <v>791</v>
      </c>
    </row>
    <row r="3" spans="1:8">
      <c r="A3" t="s">
        <v>9</v>
      </c>
      <c r="B3">
        <v>2024</v>
      </c>
      <c r="C3" s="9">
        <v>45476</v>
      </c>
      <c r="D3" t="s">
        <v>10</v>
      </c>
      <c r="E3" t="s">
        <v>8</v>
      </c>
      <c r="F3">
        <v>763</v>
      </c>
    </row>
    <row r="4" spans="1:8">
      <c r="A4" t="s">
        <v>11</v>
      </c>
      <c r="B4">
        <v>2025</v>
      </c>
      <c r="C4" s="9">
        <v>45840</v>
      </c>
      <c r="D4" t="s">
        <v>10</v>
      </c>
      <c r="E4" t="s">
        <v>8</v>
      </c>
      <c r="F4">
        <v>862</v>
      </c>
      <c r="H4" s="9"/>
    </row>
    <row r="5" spans="1:8">
      <c r="A5" t="s">
        <v>12</v>
      </c>
      <c r="B5">
        <v>2025</v>
      </c>
      <c r="C5" s="9">
        <v>45841</v>
      </c>
      <c r="D5" t="s">
        <v>13</v>
      </c>
      <c r="E5" t="s">
        <v>8</v>
      </c>
      <c r="F5">
        <v>739</v>
      </c>
      <c r="H5" s="9"/>
    </row>
    <row r="6" spans="1:8">
      <c r="A6" t="s">
        <v>14</v>
      </c>
      <c r="B6">
        <v>2025</v>
      </c>
      <c r="C6" s="9">
        <v>45658</v>
      </c>
      <c r="D6" t="s">
        <v>10</v>
      </c>
      <c r="E6" t="s">
        <v>15</v>
      </c>
      <c r="F6" s="11">
        <v>0</v>
      </c>
      <c r="H6" s="9"/>
    </row>
    <row r="7" spans="1:8">
      <c r="A7" t="s">
        <v>16</v>
      </c>
      <c r="B7">
        <v>2025</v>
      </c>
      <c r="C7" s="9">
        <v>45659</v>
      </c>
      <c r="D7" t="s">
        <v>13</v>
      </c>
      <c r="E7" t="s">
        <v>15</v>
      </c>
      <c r="F7">
        <v>0</v>
      </c>
      <c r="H7" s="9"/>
    </row>
    <row r="8" spans="1:8">
      <c r="A8" t="s">
        <v>17</v>
      </c>
      <c r="B8">
        <v>2025</v>
      </c>
      <c r="C8" s="9">
        <v>45660</v>
      </c>
      <c r="D8" t="s">
        <v>18</v>
      </c>
      <c r="E8" t="s">
        <v>15</v>
      </c>
      <c r="F8">
        <v>709.8</v>
      </c>
      <c r="H8" s="9"/>
    </row>
    <row r="9" spans="1:8">
      <c r="A9" t="s">
        <v>19</v>
      </c>
      <c r="B9">
        <v>2025</v>
      </c>
      <c r="C9" s="9">
        <v>45661</v>
      </c>
      <c r="D9" t="s">
        <v>20</v>
      </c>
      <c r="E9" t="s">
        <v>15</v>
      </c>
      <c r="F9">
        <v>349</v>
      </c>
      <c r="H9" s="9"/>
    </row>
    <row r="10" spans="1:8">
      <c r="A10" t="s">
        <v>21</v>
      </c>
      <c r="B10">
        <v>2025</v>
      </c>
      <c r="C10" s="9">
        <v>45662</v>
      </c>
      <c r="D10" t="s">
        <v>22</v>
      </c>
      <c r="E10" t="s">
        <v>15</v>
      </c>
      <c r="F10">
        <v>0</v>
      </c>
      <c r="H10" s="9"/>
    </row>
    <row r="11" spans="1:8">
      <c r="A11" t="s">
        <v>23</v>
      </c>
      <c r="B11">
        <v>2025</v>
      </c>
      <c r="C11" s="9">
        <v>45663</v>
      </c>
      <c r="D11" t="s">
        <v>24</v>
      </c>
      <c r="E11" t="s">
        <v>15</v>
      </c>
      <c r="F11">
        <v>0</v>
      </c>
      <c r="H11" s="9"/>
    </row>
    <row r="12" spans="1:8">
      <c r="A12" t="s">
        <v>25</v>
      </c>
      <c r="B12">
        <v>2025</v>
      </c>
      <c r="C12" s="9">
        <v>45664</v>
      </c>
      <c r="D12" t="s">
        <v>7</v>
      </c>
      <c r="E12" t="s">
        <v>15</v>
      </c>
      <c r="F12">
        <v>502</v>
      </c>
      <c r="H12" s="9"/>
    </row>
    <row r="13" spans="1:8">
      <c r="A13" t="s">
        <v>26</v>
      </c>
      <c r="B13">
        <v>2025</v>
      </c>
      <c r="C13" s="9">
        <v>45665</v>
      </c>
      <c r="D13" t="s">
        <v>10</v>
      </c>
      <c r="E13" t="s">
        <v>15</v>
      </c>
      <c r="F13">
        <v>791</v>
      </c>
      <c r="H13" s="9"/>
    </row>
    <row r="14" spans="1:8">
      <c r="A14" t="s">
        <v>27</v>
      </c>
      <c r="B14">
        <v>2025</v>
      </c>
      <c r="C14" s="9">
        <v>45666</v>
      </c>
      <c r="D14" t="s">
        <v>13</v>
      </c>
      <c r="E14" t="s">
        <v>15</v>
      </c>
      <c r="F14">
        <v>645</v>
      </c>
      <c r="H14" s="9"/>
    </row>
    <row r="15" spans="1:8">
      <c r="A15" t="s">
        <v>28</v>
      </c>
      <c r="B15">
        <v>2025</v>
      </c>
      <c r="C15" s="9">
        <v>45667</v>
      </c>
      <c r="D15" t="s">
        <v>18</v>
      </c>
      <c r="E15" t="s">
        <v>15</v>
      </c>
      <c r="F15">
        <v>765.4</v>
      </c>
      <c r="H15" s="9"/>
    </row>
    <row r="16" spans="1:8">
      <c r="A16" t="s">
        <v>29</v>
      </c>
      <c r="B16">
        <v>2025</v>
      </c>
      <c r="C16" s="9">
        <v>45668</v>
      </c>
      <c r="D16" t="s">
        <v>20</v>
      </c>
      <c r="E16" t="s">
        <v>15</v>
      </c>
      <c r="F16">
        <v>352</v>
      </c>
      <c r="H16" s="9"/>
    </row>
    <row r="17" spans="1:8">
      <c r="A17" t="s">
        <v>30</v>
      </c>
      <c r="B17">
        <v>2025</v>
      </c>
      <c r="C17" s="9">
        <v>45669</v>
      </c>
      <c r="D17" t="s">
        <v>22</v>
      </c>
      <c r="E17" t="s">
        <v>15</v>
      </c>
      <c r="F17">
        <v>0</v>
      </c>
      <c r="H17" s="9"/>
    </row>
    <row r="18" spans="1:8">
      <c r="A18" t="s">
        <v>31</v>
      </c>
      <c r="B18">
        <v>2025</v>
      </c>
      <c r="C18" s="9">
        <v>45670</v>
      </c>
      <c r="D18" t="s">
        <v>24</v>
      </c>
      <c r="E18" t="s">
        <v>15</v>
      </c>
      <c r="F18">
        <v>0</v>
      </c>
      <c r="H18" s="9"/>
    </row>
    <row r="19" spans="1:8">
      <c r="A19" t="s">
        <v>32</v>
      </c>
      <c r="B19">
        <v>2025</v>
      </c>
      <c r="C19" s="9">
        <v>45671</v>
      </c>
      <c r="D19" t="s">
        <v>7</v>
      </c>
      <c r="E19" t="s">
        <v>15</v>
      </c>
      <c r="F19">
        <v>568</v>
      </c>
      <c r="H19" s="9"/>
    </row>
    <row r="20" spans="1:8">
      <c r="A20" t="s">
        <v>33</v>
      </c>
      <c r="B20">
        <v>2025</v>
      </c>
      <c r="C20" s="9">
        <v>45672</v>
      </c>
      <c r="D20" t="s">
        <v>10</v>
      </c>
      <c r="E20" t="s">
        <v>15</v>
      </c>
      <c r="F20">
        <v>831</v>
      </c>
      <c r="H20" s="9"/>
    </row>
    <row r="21" spans="1:8">
      <c r="A21" t="s">
        <v>34</v>
      </c>
      <c r="B21">
        <v>2025</v>
      </c>
      <c r="C21" s="9">
        <v>45673</v>
      </c>
      <c r="D21" t="s">
        <v>13</v>
      </c>
      <c r="E21" t="s">
        <v>15</v>
      </c>
      <c r="F21">
        <v>742.6</v>
      </c>
      <c r="H21" s="9"/>
    </row>
    <row r="22" spans="1:8">
      <c r="A22" t="s">
        <v>35</v>
      </c>
      <c r="B22">
        <v>2025</v>
      </c>
      <c r="C22" s="9">
        <v>45674</v>
      </c>
      <c r="D22" t="s">
        <v>18</v>
      </c>
      <c r="E22" t="s">
        <v>15</v>
      </c>
      <c r="F22">
        <v>631</v>
      </c>
      <c r="H22" s="9"/>
    </row>
    <row r="23" spans="1:8">
      <c r="A23" t="s">
        <v>36</v>
      </c>
      <c r="B23">
        <v>2025</v>
      </c>
      <c r="C23" s="9">
        <v>45675</v>
      </c>
      <c r="D23" t="s">
        <v>20</v>
      </c>
      <c r="E23" t="s">
        <v>15</v>
      </c>
      <c r="F23">
        <v>484</v>
      </c>
      <c r="H23" s="9"/>
    </row>
    <row r="24" spans="1:8">
      <c r="A24" t="s">
        <v>37</v>
      </c>
      <c r="B24">
        <v>2025</v>
      </c>
      <c r="C24" s="9">
        <v>45676</v>
      </c>
      <c r="D24" t="s">
        <v>22</v>
      </c>
      <c r="E24" t="s">
        <v>15</v>
      </c>
      <c r="F24">
        <v>0</v>
      </c>
      <c r="H24" s="9"/>
    </row>
    <row r="25" spans="1:8">
      <c r="A25" t="s">
        <v>38</v>
      </c>
      <c r="B25">
        <v>2025</v>
      </c>
      <c r="C25" s="9">
        <v>45677</v>
      </c>
      <c r="D25" t="s">
        <v>24</v>
      </c>
      <c r="E25" t="s">
        <v>15</v>
      </c>
      <c r="F25">
        <v>0</v>
      </c>
      <c r="H25" s="9"/>
    </row>
    <row r="26" spans="1:8">
      <c r="A26" t="s">
        <v>39</v>
      </c>
      <c r="B26">
        <v>2025</v>
      </c>
      <c r="C26" s="9">
        <v>45678</v>
      </c>
      <c r="D26" t="s">
        <v>7</v>
      </c>
      <c r="E26" t="s">
        <v>15</v>
      </c>
      <c r="F26">
        <v>503</v>
      </c>
      <c r="H26" s="9"/>
    </row>
    <row r="27" spans="1:8">
      <c r="A27" t="s">
        <v>40</v>
      </c>
      <c r="B27">
        <v>2025</v>
      </c>
      <c r="C27" s="9">
        <v>45679</v>
      </c>
      <c r="D27" t="s">
        <v>10</v>
      </c>
      <c r="E27" t="s">
        <v>15</v>
      </c>
      <c r="F27">
        <v>1000</v>
      </c>
      <c r="H27" s="9"/>
    </row>
    <row r="28" spans="1:8">
      <c r="A28" t="s">
        <v>41</v>
      </c>
      <c r="B28">
        <v>2025</v>
      </c>
      <c r="C28" s="9">
        <v>45680</v>
      </c>
      <c r="D28" t="s">
        <v>13</v>
      </c>
      <c r="E28" t="s">
        <v>15</v>
      </c>
      <c r="F28">
        <v>555</v>
      </c>
      <c r="H28" s="9"/>
    </row>
    <row r="29" spans="1:8">
      <c r="A29" t="s">
        <v>42</v>
      </c>
      <c r="B29">
        <v>2025</v>
      </c>
      <c r="C29" s="9">
        <v>45681</v>
      </c>
      <c r="D29" t="s">
        <v>18</v>
      </c>
      <c r="E29" t="s">
        <v>15</v>
      </c>
      <c r="F29">
        <v>631</v>
      </c>
      <c r="H29" s="9"/>
    </row>
    <row r="30" spans="1:8">
      <c r="A30" t="s">
        <v>43</v>
      </c>
      <c r="B30">
        <v>2025</v>
      </c>
      <c r="C30" s="9">
        <v>45682</v>
      </c>
      <c r="D30" t="s">
        <v>20</v>
      </c>
      <c r="E30" t="s">
        <v>15</v>
      </c>
      <c r="F30">
        <v>331</v>
      </c>
      <c r="H30" s="9"/>
    </row>
    <row r="31" spans="1:8">
      <c r="A31" t="s">
        <v>44</v>
      </c>
      <c r="B31">
        <v>2025</v>
      </c>
      <c r="C31" s="9">
        <v>45683</v>
      </c>
      <c r="D31" t="s">
        <v>22</v>
      </c>
      <c r="E31" t="s">
        <v>15</v>
      </c>
      <c r="F31">
        <v>0</v>
      </c>
      <c r="H31" s="9"/>
    </row>
    <row r="32" spans="1:8">
      <c r="A32" t="s">
        <v>45</v>
      </c>
      <c r="B32">
        <v>2025</v>
      </c>
      <c r="C32" s="9">
        <v>45684</v>
      </c>
      <c r="D32" t="s">
        <v>24</v>
      </c>
      <c r="E32" t="s">
        <v>15</v>
      </c>
      <c r="F32">
        <v>0</v>
      </c>
      <c r="H32" s="9"/>
    </row>
    <row r="33" spans="1:8">
      <c r="A33" t="s">
        <v>46</v>
      </c>
      <c r="B33">
        <v>2025</v>
      </c>
      <c r="C33" s="9">
        <v>45685</v>
      </c>
      <c r="D33" t="s">
        <v>7</v>
      </c>
      <c r="E33" t="s">
        <v>15</v>
      </c>
      <c r="F33">
        <v>555</v>
      </c>
      <c r="H33" s="9"/>
    </row>
    <row r="34" spans="1:8">
      <c r="A34" t="s">
        <v>47</v>
      </c>
      <c r="B34">
        <v>2025</v>
      </c>
      <c r="C34" s="9">
        <v>45686</v>
      </c>
      <c r="D34" t="s">
        <v>10</v>
      </c>
      <c r="E34" t="s">
        <v>15</v>
      </c>
      <c r="F34">
        <v>651</v>
      </c>
      <c r="H34" s="9"/>
    </row>
    <row r="35" spans="1:8">
      <c r="A35" t="s">
        <v>48</v>
      </c>
      <c r="B35">
        <v>2025</v>
      </c>
      <c r="C35" s="9">
        <v>45687</v>
      </c>
      <c r="D35" t="s">
        <v>13</v>
      </c>
      <c r="E35" t="s">
        <v>15</v>
      </c>
      <c r="F35">
        <v>499</v>
      </c>
      <c r="H35" s="9"/>
    </row>
    <row r="36" spans="1:8">
      <c r="A36" t="s">
        <v>49</v>
      </c>
      <c r="B36">
        <v>2025</v>
      </c>
      <c r="C36" s="9">
        <v>45688</v>
      </c>
      <c r="D36" t="s">
        <v>18</v>
      </c>
      <c r="E36" t="s">
        <v>15</v>
      </c>
      <c r="F36">
        <v>610.5</v>
      </c>
      <c r="H36" s="9"/>
    </row>
    <row r="37" spans="1:8">
      <c r="A37" t="s">
        <v>50</v>
      </c>
      <c r="B37">
        <v>2025</v>
      </c>
      <c r="C37" s="9">
        <v>45689</v>
      </c>
      <c r="D37" t="s">
        <v>20</v>
      </c>
      <c r="E37" t="s">
        <v>51</v>
      </c>
      <c r="F37">
        <v>321</v>
      </c>
      <c r="H37" s="9"/>
    </row>
    <row r="38" spans="1:8">
      <c r="A38" t="s">
        <v>52</v>
      </c>
      <c r="B38">
        <v>2025</v>
      </c>
      <c r="C38" s="9">
        <v>45690</v>
      </c>
      <c r="D38" t="s">
        <v>22</v>
      </c>
      <c r="E38" t="s">
        <v>51</v>
      </c>
      <c r="F38">
        <v>0</v>
      </c>
      <c r="H38" s="9"/>
    </row>
    <row r="39" spans="1:8">
      <c r="A39" t="s">
        <v>53</v>
      </c>
      <c r="B39">
        <v>2025</v>
      </c>
      <c r="C39" s="9">
        <v>45691</v>
      </c>
      <c r="D39" t="s">
        <v>24</v>
      </c>
      <c r="E39" t="s">
        <v>51</v>
      </c>
      <c r="F39">
        <v>0</v>
      </c>
      <c r="H39" s="9"/>
    </row>
    <row r="40" spans="1:8">
      <c r="A40" t="s">
        <v>54</v>
      </c>
      <c r="B40">
        <v>2025</v>
      </c>
      <c r="C40" s="9">
        <v>45692</v>
      </c>
      <c r="D40" t="s">
        <v>7</v>
      </c>
      <c r="E40" t="s">
        <v>51</v>
      </c>
      <c r="F40">
        <v>707</v>
      </c>
      <c r="H40" s="9"/>
    </row>
    <row r="41" spans="1:8">
      <c r="A41" t="s">
        <v>55</v>
      </c>
      <c r="B41">
        <v>2025</v>
      </c>
      <c r="C41" s="9">
        <v>45693</v>
      </c>
      <c r="D41" t="s">
        <v>10</v>
      </c>
      <c r="E41" t="s">
        <v>51</v>
      </c>
      <c r="F41">
        <v>771</v>
      </c>
      <c r="H41" s="9"/>
    </row>
    <row r="42" spans="1:8">
      <c r="A42" t="s">
        <v>56</v>
      </c>
      <c r="B42">
        <v>2025</v>
      </c>
      <c r="C42" s="9">
        <v>45694</v>
      </c>
      <c r="D42" t="s">
        <v>13</v>
      </c>
      <c r="E42" t="s">
        <v>51</v>
      </c>
      <c r="F42">
        <v>739.8</v>
      </c>
      <c r="H42" s="9"/>
    </row>
    <row r="43" spans="1:8">
      <c r="A43" t="s">
        <v>57</v>
      </c>
      <c r="B43">
        <v>2025</v>
      </c>
      <c r="C43" s="9">
        <v>45695</v>
      </c>
      <c r="D43" t="s">
        <v>18</v>
      </c>
      <c r="E43" t="s">
        <v>51</v>
      </c>
      <c r="F43">
        <v>945</v>
      </c>
      <c r="H43" s="9"/>
    </row>
    <row r="44" spans="1:8">
      <c r="A44" t="s">
        <v>58</v>
      </c>
      <c r="B44">
        <v>2025</v>
      </c>
      <c r="C44" s="9">
        <v>45696</v>
      </c>
      <c r="D44" t="s">
        <v>20</v>
      </c>
      <c r="E44" t="s">
        <v>51</v>
      </c>
      <c r="F44">
        <v>402</v>
      </c>
      <c r="H44" s="9"/>
    </row>
    <row r="45" spans="1:8">
      <c r="A45" t="s">
        <v>59</v>
      </c>
      <c r="B45">
        <v>2025</v>
      </c>
      <c r="C45" s="9">
        <v>45697</v>
      </c>
      <c r="D45" t="s">
        <v>22</v>
      </c>
      <c r="E45" t="s">
        <v>51</v>
      </c>
      <c r="F45">
        <v>0</v>
      </c>
      <c r="H45" s="9"/>
    </row>
    <row r="46" spans="1:8">
      <c r="A46" t="s">
        <v>60</v>
      </c>
      <c r="B46">
        <v>2025</v>
      </c>
      <c r="C46" s="9">
        <v>45698</v>
      </c>
      <c r="D46" t="s">
        <v>24</v>
      </c>
      <c r="E46" t="s">
        <v>51</v>
      </c>
      <c r="F46">
        <v>0</v>
      </c>
      <c r="H46" s="9"/>
    </row>
    <row r="47" spans="1:8">
      <c r="A47" t="s">
        <v>61</v>
      </c>
      <c r="B47">
        <v>2025</v>
      </c>
      <c r="C47" s="9">
        <v>45699</v>
      </c>
      <c r="D47" t="s">
        <v>7</v>
      </c>
      <c r="E47" t="s">
        <v>51</v>
      </c>
      <c r="F47">
        <v>769.8</v>
      </c>
      <c r="H47" s="9"/>
    </row>
    <row r="48" spans="1:8">
      <c r="A48" t="s">
        <v>62</v>
      </c>
      <c r="B48">
        <v>2025</v>
      </c>
      <c r="C48" s="9">
        <v>45700</v>
      </c>
      <c r="D48" t="s">
        <v>10</v>
      </c>
      <c r="E48" t="s">
        <v>51</v>
      </c>
      <c r="F48">
        <v>807</v>
      </c>
      <c r="H48" s="9"/>
    </row>
    <row r="49" spans="1:8">
      <c r="A49" t="s">
        <v>63</v>
      </c>
      <c r="B49">
        <v>2025</v>
      </c>
      <c r="C49" s="9">
        <v>45701</v>
      </c>
      <c r="D49" t="s">
        <v>13</v>
      </c>
      <c r="E49" t="s">
        <v>51</v>
      </c>
      <c r="F49">
        <v>824</v>
      </c>
      <c r="H49" s="9"/>
    </row>
    <row r="50" spans="1:8">
      <c r="A50" t="s">
        <v>64</v>
      </c>
      <c r="B50">
        <v>2025</v>
      </c>
      <c r="C50" s="9">
        <v>45702</v>
      </c>
      <c r="D50" t="s">
        <v>18</v>
      </c>
      <c r="E50" t="s">
        <v>51</v>
      </c>
      <c r="F50">
        <v>630</v>
      </c>
      <c r="H50" s="9"/>
    </row>
    <row r="51" spans="1:8">
      <c r="A51" t="s">
        <v>65</v>
      </c>
      <c r="B51">
        <v>2025</v>
      </c>
      <c r="C51" s="9">
        <v>45703</v>
      </c>
      <c r="D51" t="s">
        <v>20</v>
      </c>
      <c r="E51" t="s">
        <v>51</v>
      </c>
      <c r="F51">
        <v>225</v>
      </c>
      <c r="H51" s="9"/>
    </row>
    <row r="52" spans="1:8">
      <c r="A52" t="s">
        <v>66</v>
      </c>
      <c r="B52">
        <v>2025</v>
      </c>
      <c r="C52" s="9">
        <v>45704</v>
      </c>
      <c r="D52" t="s">
        <v>22</v>
      </c>
      <c r="E52" t="s">
        <v>51</v>
      </c>
      <c r="F52">
        <v>0</v>
      </c>
      <c r="H52" s="9"/>
    </row>
    <row r="53" spans="1:8">
      <c r="A53" t="s">
        <v>67</v>
      </c>
      <c r="B53">
        <v>2025</v>
      </c>
      <c r="C53" s="9">
        <v>45705</v>
      </c>
      <c r="D53" t="s">
        <v>24</v>
      </c>
      <c r="E53" t="s">
        <v>51</v>
      </c>
      <c r="F53">
        <v>0</v>
      </c>
      <c r="H53" s="9"/>
    </row>
    <row r="54" spans="1:8">
      <c r="A54" t="s">
        <v>68</v>
      </c>
      <c r="B54">
        <v>2025</v>
      </c>
      <c r="C54" s="9">
        <v>45706</v>
      </c>
      <c r="D54" t="s">
        <v>7</v>
      </c>
      <c r="E54" t="s">
        <v>51</v>
      </c>
      <c r="F54">
        <v>671</v>
      </c>
      <c r="H54" s="9"/>
    </row>
    <row r="55" spans="1:8">
      <c r="A55" t="s">
        <v>69</v>
      </c>
      <c r="B55">
        <v>2025</v>
      </c>
      <c r="C55" s="9">
        <v>45707</v>
      </c>
      <c r="D55" t="s">
        <v>10</v>
      </c>
      <c r="E55" t="s">
        <v>51</v>
      </c>
      <c r="F55">
        <v>617</v>
      </c>
      <c r="H55" s="9"/>
    </row>
    <row r="56" spans="1:8">
      <c r="A56" t="s">
        <v>70</v>
      </c>
      <c r="B56">
        <v>2025</v>
      </c>
      <c r="C56" s="9">
        <v>45708</v>
      </c>
      <c r="D56" t="s">
        <v>13</v>
      </c>
      <c r="E56" t="s">
        <v>51</v>
      </c>
      <c r="F56">
        <v>514</v>
      </c>
      <c r="H56" s="9"/>
    </row>
    <row r="57" spans="1:8">
      <c r="A57" t="s">
        <v>71</v>
      </c>
      <c r="B57">
        <v>2025</v>
      </c>
      <c r="C57" s="9">
        <v>45709</v>
      </c>
      <c r="D57" t="s">
        <v>18</v>
      </c>
      <c r="E57" t="s">
        <v>51</v>
      </c>
      <c r="F57">
        <v>821</v>
      </c>
      <c r="H57" s="9"/>
    </row>
    <row r="58" spans="1:8">
      <c r="A58" t="s">
        <v>72</v>
      </c>
      <c r="B58">
        <v>2025</v>
      </c>
      <c r="C58" s="9">
        <v>45710</v>
      </c>
      <c r="D58" t="s">
        <v>20</v>
      </c>
      <c r="E58" t="s">
        <v>51</v>
      </c>
      <c r="F58">
        <v>361</v>
      </c>
      <c r="H58" s="9"/>
    </row>
    <row r="59" spans="1:8">
      <c r="A59" t="s">
        <v>73</v>
      </c>
      <c r="B59">
        <v>2025</v>
      </c>
      <c r="C59" s="9">
        <v>45711</v>
      </c>
      <c r="D59" t="s">
        <v>22</v>
      </c>
      <c r="E59" t="s">
        <v>51</v>
      </c>
      <c r="F59">
        <v>0</v>
      </c>
      <c r="H59" s="9"/>
    </row>
    <row r="60" spans="1:8">
      <c r="A60" t="s">
        <v>74</v>
      </c>
      <c r="B60">
        <v>2025</v>
      </c>
      <c r="C60" s="9">
        <v>45712</v>
      </c>
      <c r="D60" t="s">
        <v>24</v>
      </c>
      <c r="E60" t="s">
        <v>51</v>
      </c>
      <c r="F60">
        <v>0</v>
      </c>
      <c r="H60" s="9"/>
    </row>
    <row r="61" spans="1:8">
      <c r="A61" t="s">
        <v>75</v>
      </c>
      <c r="B61">
        <v>2025</v>
      </c>
      <c r="C61" s="9">
        <v>45713</v>
      </c>
      <c r="D61" t="s">
        <v>7</v>
      </c>
      <c r="E61" t="s">
        <v>51</v>
      </c>
      <c r="F61">
        <v>650</v>
      </c>
      <c r="H61" s="9"/>
    </row>
    <row r="62" spans="1:8">
      <c r="A62" t="s">
        <v>76</v>
      </c>
      <c r="B62">
        <v>2025</v>
      </c>
      <c r="C62" s="9">
        <v>45714</v>
      </c>
      <c r="D62" t="s">
        <v>10</v>
      </c>
      <c r="E62" t="s">
        <v>51</v>
      </c>
      <c r="F62">
        <v>855</v>
      </c>
      <c r="H62" s="9"/>
    </row>
    <row r="63" spans="1:8">
      <c r="A63" t="s">
        <v>77</v>
      </c>
      <c r="B63">
        <v>2025</v>
      </c>
      <c r="C63" s="9">
        <v>45715</v>
      </c>
      <c r="D63" t="s">
        <v>13</v>
      </c>
      <c r="E63" t="s">
        <v>51</v>
      </c>
      <c r="F63">
        <v>830</v>
      </c>
      <c r="H63" s="9"/>
    </row>
    <row r="64" spans="1:8">
      <c r="A64" t="s">
        <v>78</v>
      </c>
      <c r="B64">
        <v>2025</v>
      </c>
      <c r="C64" s="9">
        <v>45716</v>
      </c>
      <c r="D64" t="s">
        <v>18</v>
      </c>
      <c r="E64" t="s">
        <v>51</v>
      </c>
      <c r="F64">
        <v>941</v>
      </c>
      <c r="H64" s="9"/>
    </row>
    <row r="65" spans="1:8">
      <c r="A65" t="s">
        <v>79</v>
      </c>
      <c r="B65">
        <v>2025</v>
      </c>
      <c r="C65" s="9">
        <v>45717</v>
      </c>
      <c r="D65" t="s">
        <v>20</v>
      </c>
      <c r="E65" t="s">
        <v>80</v>
      </c>
      <c r="F65">
        <v>336.5</v>
      </c>
      <c r="H65" s="9"/>
    </row>
    <row r="66" spans="1:8">
      <c r="A66" t="s">
        <v>81</v>
      </c>
      <c r="B66">
        <v>2025</v>
      </c>
      <c r="C66" s="9">
        <v>45718</v>
      </c>
      <c r="D66" t="s">
        <v>22</v>
      </c>
      <c r="E66" t="s">
        <v>80</v>
      </c>
      <c r="F66">
        <v>0</v>
      </c>
      <c r="H66" s="9"/>
    </row>
    <row r="67" spans="1:8">
      <c r="A67" t="s">
        <v>82</v>
      </c>
      <c r="B67">
        <v>2025</v>
      </c>
      <c r="C67" s="9">
        <v>45719</v>
      </c>
      <c r="D67" t="s">
        <v>24</v>
      </c>
      <c r="E67" t="s">
        <v>80</v>
      </c>
      <c r="F67">
        <v>0</v>
      </c>
      <c r="H67" s="9"/>
    </row>
    <row r="68" spans="1:8">
      <c r="A68" t="s">
        <v>83</v>
      </c>
      <c r="B68">
        <v>2025</v>
      </c>
      <c r="C68" s="9">
        <v>45720</v>
      </c>
      <c r="D68" t="s">
        <v>7</v>
      </c>
      <c r="E68" t="s">
        <v>80</v>
      </c>
      <c r="F68">
        <v>633</v>
      </c>
      <c r="H68" s="9"/>
    </row>
    <row r="69" spans="1:8">
      <c r="A69" t="s">
        <v>84</v>
      </c>
      <c r="B69">
        <v>2025</v>
      </c>
      <c r="C69" s="9">
        <v>45721</v>
      </c>
      <c r="D69" t="s">
        <v>10</v>
      </c>
      <c r="E69" t="s">
        <v>80</v>
      </c>
      <c r="F69">
        <v>720.4</v>
      </c>
      <c r="H69" s="9"/>
    </row>
    <row r="70" spans="1:8">
      <c r="A70" t="s">
        <v>85</v>
      </c>
      <c r="B70">
        <v>2025</v>
      </c>
      <c r="C70" s="9">
        <v>45722</v>
      </c>
      <c r="D70" t="s">
        <v>13</v>
      </c>
      <c r="E70" t="s">
        <v>80</v>
      </c>
      <c r="F70">
        <v>693</v>
      </c>
      <c r="H70" s="9"/>
    </row>
    <row r="71" spans="1:8">
      <c r="A71" t="s">
        <v>86</v>
      </c>
      <c r="B71">
        <v>2025</v>
      </c>
      <c r="C71" s="9">
        <v>45723</v>
      </c>
      <c r="D71" t="s">
        <v>18</v>
      </c>
      <c r="E71" t="s">
        <v>80</v>
      </c>
      <c r="F71">
        <v>656</v>
      </c>
      <c r="H71" s="9"/>
    </row>
    <row r="72" spans="1:8">
      <c r="A72" t="s">
        <v>87</v>
      </c>
      <c r="B72">
        <v>2025</v>
      </c>
      <c r="C72" s="9">
        <v>45724</v>
      </c>
      <c r="D72" t="s">
        <v>20</v>
      </c>
      <c r="E72" t="s">
        <v>80</v>
      </c>
      <c r="F72">
        <v>438</v>
      </c>
      <c r="H72" s="9"/>
    </row>
    <row r="73" spans="1:8">
      <c r="A73" t="s">
        <v>88</v>
      </c>
      <c r="B73">
        <v>2025</v>
      </c>
      <c r="C73" s="9">
        <v>45725</v>
      </c>
      <c r="D73" t="s">
        <v>22</v>
      </c>
      <c r="E73" t="s">
        <v>80</v>
      </c>
      <c r="F73">
        <v>0</v>
      </c>
      <c r="H73" s="9"/>
    </row>
    <row r="74" spans="1:8">
      <c r="A74" t="s">
        <v>89</v>
      </c>
      <c r="B74">
        <v>2025</v>
      </c>
      <c r="C74" s="9">
        <v>45726</v>
      </c>
      <c r="D74" t="s">
        <v>24</v>
      </c>
      <c r="E74" t="s">
        <v>80</v>
      </c>
      <c r="F74">
        <v>0</v>
      </c>
      <c r="H74" s="9"/>
    </row>
    <row r="75" spans="1:8">
      <c r="A75" t="s">
        <v>90</v>
      </c>
      <c r="B75">
        <v>2025</v>
      </c>
      <c r="C75" s="9">
        <v>45727</v>
      </c>
      <c r="D75" t="s">
        <v>7</v>
      </c>
      <c r="E75" t="s">
        <v>80</v>
      </c>
      <c r="F75">
        <v>0</v>
      </c>
      <c r="H75" s="9"/>
    </row>
    <row r="76" spans="1:8">
      <c r="A76" t="s">
        <v>91</v>
      </c>
      <c r="B76">
        <v>2025</v>
      </c>
      <c r="C76" s="9">
        <v>45728</v>
      </c>
      <c r="D76" t="s">
        <v>10</v>
      </c>
      <c r="E76" t="s">
        <v>80</v>
      </c>
      <c r="F76">
        <v>500</v>
      </c>
      <c r="H76" s="9"/>
    </row>
    <row r="77" spans="1:8">
      <c r="A77" t="s">
        <v>92</v>
      </c>
      <c r="B77">
        <v>2025</v>
      </c>
      <c r="C77" s="9">
        <v>45729</v>
      </c>
      <c r="D77" t="s">
        <v>13</v>
      </c>
      <c r="E77" t="s">
        <v>80</v>
      </c>
      <c r="F77">
        <v>475.4</v>
      </c>
      <c r="H77" s="9"/>
    </row>
    <row r="78" spans="1:8">
      <c r="A78" t="s">
        <v>93</v>
      </c>
      <c r="B78">
        <v>2025</v>
      </c>
      <c r="C78" s="9">
        <v>45730</v>
      </c>
      <c r="D78" t="s">
        <v>18</v>
      </c>
      <c r="E78" t="s">
        <v>80</v>
      </c>
      <c r="F78">
        <v>448</v>
      </c>
      <c r="H78" s="9"/>
    </row>
    <row r="79" spans="1:8">
      <c r="A79" t="s">
        <v>94</v>
      </c>
      <c r="B79">
        <v>2025</v>
      </c>
      <c r="C79" s="9">
        <v>45731</v>
      </c>
      <c r="D79" t="s">
        <v>20</v>
      </c>
      <c r="E79" t="s">
        <v>80</v>
      </c>
      <c r="F79">
        <v>423.4</v>
      </c>
      <c r="H79" s="9"/>
    </row>
    <row r="80" spans="1:8">
      <c r="A80" t="s">
        <v>95</v>
      </c>
      <c r="B80">
        <v>2025</v>
      </c>
      <c r="C80" s="9">
        <v>45732</v>
      </c>
      <c r="D80" t="s">
        <v>22</v>
      </c>
      <c r="E80" t="s">
        <v>80</v>
      </c>
      <c r="F80">
        <v>0</v>
      </c>
      <c r="H80" s="9"/>
    </row>
    <row r="81" spans="1:8">
      <c r="A81" t="s">
        <v>96</v>
      </c>
      <c r="B81">
        <v>2025</v>
      </c>
      <c r="C81" s="9">
        <v>45733</v>
      </c>
      <c r="D81" t="s">
        <v>24</v>
      </c>
      <c r="E81" t="s">
        <v>80</v>
      </c>
      <c r="F81">
        <v>0</v>
      </c>
      <c r="H81" s="9"/>
    </row>
    <row r="82" spans="1:8">
      <c r="A82" t="s">
        <v>97</v>
      </c>
      <c r="B82">
        <v>2025</v>
      </c>
      <c r="C82" s="9">
        <v>45734</v>
      </c>
      <c r="D82" t="s">
        <v>7</v>
      </c>
      <c r="E82" t="s">
        <v>80</v>
      </c>
      <c r="F82">
        <v>460</v>
      </c>
      <c r="H82" s="9"/>
    </row>
    <row r="83" spans="1:8">
      <c r="A83" t="s">
        <v>98</v>
      </c>
      <c r="B83">
        <v>2025</v>
      </c>
      <c r="C83" s="9">
        <v>45735</v>
      </c>
      <c r="D83" t="s">
        <v>10</v>
      </c>
      <c r="E83" t="s">
        <v>80</v>
      </c>
      <c r="F83">
        <v>534</v>
      </c>
      <c r="H83" s="9"/>
    </row>
    <row r="84" spans="1:8">
      <c r="A84" t="s">
        <v>99</v>
      </c>
      <c r="B84">
        <v>2025</v>
      </c>
      <c r="C84" s="9">
        <v>45736</v>
      </c>
      <c r="D84" t="s">
        <v>13</v>
      </c>
      <c r="E84" t="s">
        <v>80</v>
      </c>
      <c r="F84">
        <v>340</v>
      </c>
      <c r="H84" s="9"/>
    </row>
    <row r="85" spans="1:8">
      <c r="A85" t="s">
        <v>100</v>
      </c>
      <c r="B85">
        <v>2025</v>
      </c>
      <c r="C85" s="9">
        <v>45737</v>
      </c>
      <c r="D85" t="s">
        <v>18</v>
      </c>
      <c r="E85" t="s">
        <v>80</v>
      </c>
      <c r="F85">
        <v>428</v>
      </c>
      <c r="H85" s="9"/>
    </row>
    <row r="86" spans="1:8">
      <c r="A86" t="s">
        <v>101</v>
      </c>
      <c r="B86">
        <v>2025</v>
      </c>
      <c r="C86" s="9">
        <v>45738</v>
      </c>
      <c r="D86" t="s">
        <v>20</v>
      </c>
      <c r="E86" t="s">
        <v>80</v>
      </c>
      <c r="F86">
        <v>513</v>
      </c>
      <c r="H86" s="9"/>
    </row>
    <row r="87" spans="1:8">
      <c r="A87" t="s">
        <v>102</v>
      </c>
      <c r="B87">
        <v>2025</v>
      </c>
      <c r="C87" s="9">
        <v>45739</v>
      </c>
      <c r="D87" t="s">
        <v>22</v>
      </c>
      <c r="E87" t="s">
        <v>80</v>
      </c>
      <c r="F87">
        <v>0</v>
      </c>
      <c r="H87" s="9"/>
    </row>
    <row r="88" spans="1:8">
      <c r="A88" t="s">
        <v>103</v>
      </c>
      <c r="B88">
        <v>2025</v>
      </c>
      <c r="C88" s="9">
        <v>45740</v>
      </c>
      <c r="D88" t="s">
        <v>24</v>
      </c>
      <c r="E88" t="s">
        <v>80</v>
      </c>
      <c r="F88">
        <v>0</v>
      </c>
      <c r="H88" s="9"/>
    </row>
    <row r="89" spans="1:8">
      <c r="A89" t="s">
        <v>104</v>
      </c>
      <c r="B89">
        <v>2025</v>
      </c>
      <c r="C89" s="9">
        <v>45741</v>
      </c>
      <c r="D89" t="s">
        <v>7</v>
      </c>
      <c r="E89" t="s">
        <v>80</v>
      </c>
      <c r="F89">
        <v>523</v>
      </c>
      <c r="H89" s="9"/>
    </row>
    <row r="90" spans="1:8">
      <c r="A90" t="s">
        <v>105</v>
      </c>
      <c r="B90">
        <v>2025</v>
      </c>
      <c r="C90" s="9">
        <v>45742</v>
      </c>
      <c r="D90" t="s">
        <v>10</v>
      </c>
      <c r="E90" t="s">
        <v>80</v>
      </c>
      <c r="F90">
        <v>687</v>
      </c>
      <c r="H90" s="9"/>
    </row>
    <row r="91" spans="1:8">
      <c r="A91" t="s">
        <v>106</v>
      </c>
      <c r="B91">
        <v>2025</v>
      </c>
      <c r="C91" s="9">
        <v>45743</v>
      </c>
      <c r="D91" t="s">
        <v>13</v>
      </c>
      <c r="E91" t="s">
        <v>80</v>
      </c>
      <c r="F91">
        <v>615</v>
      </c>
      <c r="H91" s="9"/>
    </row>
    <row r="92" spans="1:8">
      <c r="A92" t="s">
        <v>107</v>
      </c>
      <c r="B92">
        <v>2025</v>
      </c>
      <c r="C92" s="9">
        <v>45744</v>
      </c>
      <c r="D92" t="s">
        <v>18</v>
      </c>
      <c r="E92" t="s">
        <v>80</v>
      </c>
      <c r="F92">
        <v>751</v>
      </c>
      <c r="H92" s="9"/>
    </row>
    <row r="93" spans="1:8">
      <c r="A93" t="s">
        <v>108</v>
      </c>
      <c r="B93">
        <v>2025</v>
      </c>
      <c r="C93" s="9">
        <v>45745</v>
      </c>
      <c r="D93" t="s">
        <v>20</v>
      </c>
      <c r="E93" t="s">
        <v>80</v>
      </c>
      <c r="F93">
        <v>379</v>
      </c>
      <c r="H93" s="9"/>
    </row>
    <row r="94" spans="1:8">
      <c r="A94" t="s">
        <v>109</v>
      </c>
      <c r="B94">
        <v>2025</v>
      </c>
      <c r="C94" s="9">
        <v>45746</v>
      </c>
      <c r="D94" t="s">
        <v>22</v>
      </c>
      <c r="E94" t="s">
        <v>80</v>
      </c>
      <c r="F94">
        <v>0</v>
      </c>
      <c r="H94" s="9"/>
    </row>
    <row r="95" spans="1:8">
      <c r="A95" t="s">
        <v>110</v>
      </c>
      <c r="B95">
        <v>2025</v>
      </c>
      <c r="C95" s="9">
        <v>45747</v>
      </c>
      <c r="D95" t="s">
        <v>24</v>
      </c>
      <c r="E95" t="s">
        <v>80</v>
      </c>
      <c r="F95">
        <v>0</v>
      </c>
      <c r="H95" s="9"/>
    </row>
    <row r="96" spans="1:8">
      <c r="A96" t="s">
        <v>111</v>
      </c>
      <c r="B96">
        <v>2025</v>
      </c>
      <c r="C96" s="9">
        <v>45749</v>
      </c>
      <c r="D96" t="s">
        <v>10</v>
      </c>
      <c r="E96" t="s">
        <v>112</v>
      </c>
      <c r="F96">
        <v>847</v>
      </c>
      <c r="H96" s="9"/>
    </row>
    <row r="97" spans="1:8">
      <c r="A97" t="s">
        <v>113</v>
      </c>
      <c r="B97">
        <v>2025</v>
      </c>
      <c r="C97" s="9">
        <v>45750</v>
      </c>
      <c r="D97" t="s">
        <v>13</v>
      </c>
      <c r="E97" t="s">
        <v>112</v>
      </c>
      <c r="F97">
        <v>645</v>
      </c>
      <c r="H97" s="9"/>
    </row>
    <row r="98" spans="1:8">
      <c r="A98" t="s">
        <v>114</v>
      </c>
      <c r="B98">
        <v>2025</v>
      </c>
      <c r="C98" s="9">
        <v>45751</v>
      </c>
      <c r="D98" t="s">
        <v>18</v>
      </c>
      <c r="E98" t="s">
        <v>112</v>
      </c>
      <c r="F98">
        <v>696</v>
      </c>
      <c r="H98" s="9"/>
    </row>
    <row r="99" spans="1:8">
      <c r="A99" t="s">
        <v>115</v>
      </c>
      <c r="B99">
        <v>2025</v>
      </c>
      <c r="C99" s="9">
        <v>45752</v>
      </c>
      <c r="D99" t="s">
        <v>20</v>
      </c>
      <c r="E99" t="s">
        <v>112</v>
      </c>
      <c r="F99">
        <v>155</v>
      </c>
      <c r="H99" s="9"/>
    </row>
    <row r="100" spans="1:8">
      <c r="A100" t="s">
        <v>116</v>
      </c>
      <c r="B100">
        <v>2025</v>
      </c>
      <c r="C100" s="9">
        <v>45748</v>
      </c>
      <c r="D100" t="s">
        <v>7</v>
      </c>
      <c r="E100" t="s">
        <v>112</v>
      </c>
      <c r="F100">
        <v>451</v>
      </c>
      <c r="H100" s="9"/>
    </row>
    <row r="101" spans="1:8">
      <c r="A101" t="s">
        <v>117</v>
      </c>
      <c r="B101">
        <v>2025</v>
      </c>
      <c r="C101" s="9">
        <v>45753</v>
      </c>
      <c r="D101" t="s">
        <v>22</v>
      </c>
      <c r="E101" t="s">
        <v>112</v>
      </c>
      <c r="F101">
        <v>0</v>
      </c>
      <c r="H101" s="9"/>
    </row>
    <row r="102" spans="1:8">
      <c r="A102" t="s">
        <v>118</v>
      </c>
      <c r="B102">
        <v>2025</v>
      </c>
      <c r="C102" s="9">
        <v>45754</v>
      </c>
      <c r="D102" t="s">
        <v>24</v>
      </c>
      <c r="E102" t="s">
        <v>112</v>
      </c>
      <c r="F102">
        <v>0</v>
      </c>
      <c r="H102" s="9"/>
    </row>
    <row r="103" spans="1:8">
      <c r="A103" t="s">
        <v>119</v>
      </c>
      <c r="B103">
        <v>2025</v>
      </c>
      <c r="C103" s="9">
        <v>45755</v>
      </c>
      <c r="D103" t="s">
        <v>7</v>
      </c>
      <c r="E103" t="s">
        <v>112</v>
      </c>
      <c r="F103">
        <v>655</v>
      </c>
      <c r="H103" s="9"/>
    </row>
    <row r="104" spans="1:8">
      <c r="A104" t="s">
        <v>120</v>
      </c>
      <c r="B104">
        <v>2025</v>
      </c>
      <c r="C104" s="9">
        <v>45756</v>
      </c>
      <c r="D104" t="s">
        <v>10</v>
      </c>
      <c r="E104" t="s">
        <v>112</v>
      </c>
      <c r="F104">
        <v>706</v>
      </c>
      <c r="H104" s="9"/>
    </row>
    <row r="105" spans="1:8">
      <c r="A105" t="s">
        <v>121</v>
      </c>
      <c r="B105">
        <v>2025</v>
      </c>
      <c r="C105" s="9">
        <v>45757</v>
      </c>
      <c r="D105" t="s">
        <v>13</v>
      </c>
      <c r="E105" t="s">
        <v>112</v>
      </c>
      <c r="F105">
        <v>752.4</v>
      </c>
      <c r="H105" s="9"/>
    </row>
    <row r="106" spans="1:8">
      <c r="A106" t="s">
        <v>122</v>
      </c>
      <c r="B106">
        <v>2025</v>
      </c>
      <c r="C106" s="9">
        <v>45758</v>
      </c>
      <c r="D106" t="s">
        <v>18</v>
      </c>
      <c r="E106" t="s">
        <v>112</v>
      </c>
      <c r="F106">
        <v>1010</v>
      </c>
      <c r="H106" s="9"/>
    </row>
    <row r="107" spans="1:8">
      <c r="A107" t="s">
        <v>123</v>
      </c>
      <c r="B107">
        <v>2025</v>
      </c>
      <c r="C107" s="9">
        <v>45759</v>
      </c>
      <c r="D107" t="s">
        <v>20</v>
      </c>
      <c r="E107" t="s">
        <v>112</v>
      </c>
      <c r="F107">
        <v>250</v>
      </c>
      <c r="H107" s="9"/>
    </row>
    <row r="108" spans="1:8">
      <c r="A108" t="s">
        <v>124</v>
      </c>
      <c r="B108">
        <v>2025</v>
      </c>
      <c r="C108" s="9">
        <v>45760</v>
      </c>
      <c r="D108" t="s">
        <v>22</v>
      </c>
      <c r="E108" t="s">
        <v>112</v>
      </c>
      <c r="F108">
        <v>0</v>
      </c>
      <c r="H108" s="9"/>
    </row>
    <row r="109" spans="1:8">
      <c r="A109" t="s">
        <v>125</v>
      </c>
      <c r="B109">
        <v>2025</v>
      </c>
      <c r="C109" s="9">
        <v>45761</v>
      </c>
      <c r="D109" t="s">
        <v>24</v>
      </c>
      <c r="E109" t="s">
        <v>112</v>
      </c>
      <c r="F109">
        <v>0</v>
      </c>
      <c r="H109" s="9"/>
    </row>
    <row r="110" spans="1:8">
      <c r="A110" t="s">
        <v>126</v>
      </c>
      <c r="B110">
        <v>2025</v>
      </c>
      <c r="C110" s="9">
        <v>45762</v>
      </c>
      <c r="D110" t="s">
        <v>7</v>
      </c>
      <c r="E110" t="s">
        <v>112</v>
      </c>
      <c r="F110">
        <v>384</v>
      </c>
      <c r="H110" s="9"/>
    </row>
    <row r="111" spans="1:8">
      <c r="A111" t="s">
        <v>127</v>
      </c>
      <c r="B111">
        <v>2025</v>
      </c>
      <c r="C111" s="9">
        <v>45763</v>
      </c>
      <c r="D111" t="s">
        <v>10</v>
      </c>
      <c r="E111" t="s">
        <v>112</v>
      </c>
      <c r="F111">
        <v>911</v>
      </c>
      <c r="H111" s="9"/>
    </row>
    <row r="112" spans="1:8">
      <c r="A112" t="s">
        <v>128</v>
      </c>
      <c r="B112">
        <v>2025</v>
      </c>
      <c r="C112" s="9">
        <v>45764</v>
      </c>
      <c r="D112" t="s">
        <v>13</v>
      </c>
      <c r="E112" t="s">
        <v>112</v>
      </c>
      <c r="F112">
        <v>733</v>
      </c>
      <c r="H112" s="9"/>
    </row>
    <row r="113" spans="1:8">
      <c r="A113" t="s">
        <v>129</v>
      </c>
      <c r="B113">
        <v>2025</v>
      </c>
      <c r="C113" s="9">
        <v>45765</v>
      </c>
      <c r="D113" t="s">
        <v>18</v>
      </c>
      <c r="E113" t="s">
        <v>112</v>
      </c>
      <c r="F113">
        <v>665</v>
      </c>
      <c r="H113" s="9"/>
    </row>
    <row r="114" spans="1:8">
      <c r="A114" t="s">
        <v>130</v>
      </c>
      <c r="B114">
        <v>2025</v>
      </c>
      <c r="C114" s="9">
        <v>45766</v>
      </c>
      <c r="D114" t="s">
        <v>20</v>
      </c>
      <c r="E114" t="s">
        <v>112</v>
      </c>
      <c r="F114">
        <v>274</v>
      </c>
      <c r="H114" s="9"/>
    </row>
    <row r="115" spans="1:8">
      <c r="A115" t="s">
        <v>131</v>
      </c>
      <c r="B115">
        <v>2025</v>
      </c>
      <c r="C115" s="9">
        <v>45767</v>
      </c>
      <c r="D115" t="s">
        <v>22</v>
      </c>
      <c r="E115" t="s">
        <v>112</v>
      </c>
      <c r="F115">
        <v>0</v>
      </c>
      <c r="H115" s="9"/>
    </row>
    <row r="116" spans="1:8">
      <c r="A116" t="s">
        <v>132</v>
      </c>
      <c r="B116">
        <v>2025</v>
      </c>
      <c r="C116" s="9">
        <v>45768</v>
      </c>
      <c r="D116" t="s">
        <v>24</v>
      </c>
      <c r="E116" t="s">
        <v>112</v>
      </c>
      <c r="F116">
        <v>0</v>
      </c>
      <c r="H116" s="9"/>
    </row>
    <row r="117" spans="1:8">
      <c r="A117" t="s">
        <v>133</v>
      </c>
      <c r="B117">
        <v>2025</v>
      </c>
      <c r="C117" s="9">
        <v>45769</v>
      </c>
      <c r="D117" t="s">
        <v>7</v>
      </c>
      <c r="E117" t="s">
        <v>112</v>
      </c>
      <c r="F117">
        <v>727</v>
      </c>
      <c r="H117" s="9"/>
    </row>
    <row r="118" spans="1:8">
      <c r="A118" t="s">
        <v>134</v>
      </c>
      <c r="B118">
        <v>2025</v>
      </c>
      <c r="C118" s="9">
        <v>45770</v>
      </c>
      <c r="D118" t="s">
        <v>10</v>
      </c>
      <c r="E118" t="s">
        <v>112</v>
      </c>
      <c r="F118">
        <v>329.4</v>
      </c>
      <c r="H118" s="9"/>
    </row>
    <row r="119" spans="1:8">
      <c r="A119" t="s">
        <v>135</v>
      </c>
      <c r="B119">
        <v>2025</v>
      </c>
      <c r="C119" s="9">
        <v>45771</v>
      </c>
      <c r="D119" t="s">
        <v>13</v>
      </c>
      <c r="E119" t="s">
        <v>112</v>
      </c>
      <c r="F119">
        <v>511</v>
      </c>
      <c r="H119" s="9"/>
    </row>
    <row r="120" spans="1:8">
      <c r="A120" t="s">
        <v>136</v>
      </c>
      <c r="B120">
        <v>2025</v>
      </c>
      <c r="C120" s="9">
        <v>45772</v>
      </c>
      <c r="D120" t="s">
        <v>18</v>
      </c>
      <c r="E120" t="s">
        <v>112</v>
      </c>
      <c r="F120">
        <v>873</v>
      </c>
      <c r="H120" s="9"/>
    </row>
    <row r="121" spans="1:8">
      <c r="A121" t="s">
        <v>137</v>
      </c>
      <c r="B121">
        <v>2025</v>
      </c>
      <c r="C121" s="9">
        <v>45773</v>
      </c>
      <c r="D121" t="s">
        <v>20</v>
      </c>
      <c r="E121" t="s">
        <v>112</v>
      </c>
      <c r="F121">
        <v>313</v>
      </c>
      <c r="H121" s="9"/>
    </row>
    <row r="122" spans="1:8">
      <c r="A122" t="s">
        <v>138</v>
      </c>
      <c r="B122">
        <v>2025</v>
      </c>
      <c r="C122" s="9">
        <v>45774</v>
      </c>
      <c r="D122" t="s">
        <v>22</v>
      </c>
      <c r="E122" t="s">
        <v>112</v>
      </c>
      <c r="F122">
        <v>0</v>
      </c>
      <c r="H122" s="9"/>
    </row>
    <row r="123" spans="1:8">
      <c r="A123" t="s">
        <v>139</v>
      </c>
      <c r="B123">
        <v>2025</v>
      </c>
      <c r="C123" s="9">
        <v>45775</v>
      </c>
      <c r="D123" t="s">
        <v>24</v>
      </c>
      <c r="E123" t="s">
        <v>112</v>
      </c>
      <c r="F123">
        <v>0</v>
      </c>
      <c r="H123" s="9"/>
    </row>
    <row r="124" spans="1:8">
      <c r="A124" t="s">
        <v>140</v>
      </c>
      <c r="B124">
        <v>2025</v>
      </c>
      <c r="C124" s="9">
        <v>45776</v>
      </c>
      <c r="D124" t="s">
        <v>7</v>
      </c>
      <c r="E124" t="s">
        <v>112</v>
      </c>
      <c r="F124">
        <v>857</v>
      </c>
      <c r="H124" s="9"/>
    </row>
    <row r="125" spans="1:8">
      <c r="A125" t="s">
        <v>141</v>
      </c>
      <c r="B125">
        <v>2025</v>
      </c>
      <c r="C125" s="9">
        <v>45777</v>
      </c>
      <c r="D125" t="s">
        <v>10</v>
      </c>
      <c r="E125" t="s">
        <v>112</v>
      </c>
      <c r="F125">
        <v>1129.9000000000001</v>
      </c>
      <c r="H125" s="9"/>
    </row>
    <row r="126" spans="1:8">
      <c r="A126" t="s">
        <v>142</v>
      </c>
      <c r="B126">
        <v>2025</v>
      </c>
      <c r="C126" s="9">
        <v>45779</v>
      </c>
      <c r="D126" t="s">
        <v>18</v>
      </c>
      <c r="E126" t="s">
        <v>143</v>
      </c>
      <c r="F126">
        <v>439.4</v>
      </c>
      <c r="H126" s="9"/>
    </row>
    <row r="127" spans="1:8">
      <c r="A127" t="s">
        <v>144</v>
      </c>
      <c r="B127">
        <v>2025</v>
      </c>
      <c r="C127" s="9">
        <v>45780</v>
      </c>
      <c r="D127" t="s">
        <v>20</v>
      </c>
      <c r="E127" t="s">
        <v>143</v>
      </c>
      <c r="F127">
        <v>368</v>
      </c>
      <c r="H127" s="9"/>
    </row>
    <row r="128" spans="1:8">
      <c r="A128" t="s">
        <v>145</v>
      </c>
      <c r="B128">
        <v>2025</v>
      </c>
      <c r="C128" s="9">
        <v>45781</v>
      </c>
      <c r="D128" t="s">
        <v>22</v>
      </c>
      <c r="E128" t="s">
        <v>143</v>
      </c>
      <c r="F128">
        <v>0</v>
      </c>
      <c r="H128" s="9"/>
    </row>
    <row r="129" spans="1:8">
      <c r="A129" t="s">
        <v>146</v>
      </c>
      <c r="B129">
        <v>2025</v>
      </c>
      <c r="C129" s="9">
        <v>45782</v>
      </c>
      <c r="D129" t="s">
        <v>24</v>
      </c>
      <c r="E129" t="s">
        <v>143</v>
      </c>
      <c r="F129">
        <v>0</v>
      </c>
      <c r="H129" s="9"/>
    </row>
    <row r="130" spans="1:8">
      <c r="A130" t="s">
        <v>147</v>
      </c>
      <c r="B130">
        <v>2025</v>
      </c>
      <c r="C130" s="9">
        <v>45783</v>
      </c>
      <c r="D130" t="s">
        <v>7</v>
      </c>
      <c r="E130" t="s">
        <v>143</v>
      </c>
      <c r="F130">
        <v>849</v>
      </c>
      <c r="H130" s="9"/>
    </row>
    <row r="131" spans="1:8">
      <c r="A131" t="s">
        <v>148</v>
      </c>
      <c r="B131">
        <v>2025</v>
      </c>
      <c r="C131" s="9">
        <v>45784</v>
      </c>
      <c r="D131" t="s">
        <v>10</v>
      </c>
      <c r="E131" t="s">
        <v>143</v>
      </c>
      <c r="F131">
        <v>607</v>
      </c>
      <c r="H131" s="9"/>
    </row>
    <row r="132" spans="1:8">
      <c r="A132" t="s">
        <v>149</v>
      </c>
      <c r="B132">
        <v>2025</v>
      </c>
      <c r="C132" s="9">
        <v>45785</v>
      </c>
      <c r="D132" t="s">
        <v>13</v>
      </c>
      <c r="E132" t="s">
        <v>143</v>
      </c>
      <c r="F132">
        <v>0</v>
      </c>
      <c r="H132" s="9"/>
    </row>
    <row r="133" spans="1:8">
      <c r="A133" t="s">
        <v>150</v>
      </c>
      <c r="B133">
        <v>2025</v>
      </c>
      <c r="C133" s="9">
        <v>45786</v>
      </c>
      <c r="D133" t="s">
        <v>18</v>
      </c>
      <c r="E133" t="s">
        <v>143</v>
      </c>
      <c r="F133">
        <v>629</v>
      </c>
      <c r="H133" s="9"/>
    </row>
    <row r="134" spans="1:8">
      <c r="A134" t="s">
        <v>151</v>
      </c>
      <c r="B134">
        <v>2025</v>
      </c>
      <c r="C134" s="9">
        <v>45787</v>
      </c>
      <c r="D134" t="s">
        <v>20</v>
      </c>
      <c r="E134" t="s">
        <v>143</v>
      </c>
      <c r="F134">
        <v>330</v>
      </c>
      <c r="H134" s="9"/>
    </row>
    <row r="135" spans="1:8">
      <c r="A135" t="s">
        <v>152</v>
      </c>
      <c r="B135">
        <v>2025</v>
      </c>
      <c r="C135" s="9">
        <v>45788</v>
      </c>
      <c r="D135" t="s">
        <v>22</v>
      </c>
      <c r="E135" t="s">
        <v>143</v>
      </c>
      <c r="F135">
        <v>0</v>
      </c>
      <c r="H135" s="9"/>
    </row>
    <row r="136" spans="1:8">
      <c r="A136" t="s">
        <v>153</v>
      </c>
      <c r="B136">
        <v>2025</v>
      </c>
      <c r="C136" s="9">
        <v>45789</v>
      </c>
      <c r="D136" t="s">
        <v>24</v>
      </c>
      <c r="E136" t="s">
        <v>143</v>
      </c>
      <c r="F136">
        <v>0</v>
      </c>
      <c r="H136" s="9"/>
    </row>
    <row r="137" spans="1:8">
      <c r="A137" t="s">
        <v>154</v>
      </c>
      <c r="B137">
        <v>2025</v>
      </c>
      <c r="C137" s="9">
        <v>45790</v>
      </c>
      <c r="D137" t="s">
        <v>7</v>
      </c>
      <c r="E137" t="s">
        <v>143</v>
      </c>
      <c r="F137">
        <v>804</v>
      </c>
      <c r="H137" s="9"/>
    </row>
    <row r="138" spans="1:8">
      <c r="A138" t="s">
        <v>155</v>
      </c>
      <c r="B138">
        <v>2025</v>
      </c>
      <c r="C138" s="9">
        <v>45791</v>
      </c>
      <c r="D138" t="s">
        <v>10</v>
      </c>
      <c r="E138" t="s">
        <v>143</v>
      </c>
      <c r="F138">
        <v>1072</v>
      </c>
      <c r="H138" s="9"/>
    </row>
    <row r="139" spans="1:8">
      <c r="A139" t="s">
        <v>156</v>
      </c>
      <c r="B139">
        <v>2025</v>
      </c>
      <c r="C139" s="9">
        <v>45792</v>
      </c>
      <c r="D139" t="s">
        <v>13</v>
      </c>
      <c r="E139" t="s">
        <v>143</v>
      </c>
      <c r="F139">
        <v>703</v>
      </c>
      <c r="H139" s="9"/>
    </row>
    <row r="140" spans="1:8">
      <c r="A140" t="s">
        <v>157</v>
      </c>
      <c r="B140">
        <v>2025</v>
      </c>
      <c r="C140" s="9">
        <v>45793</v>
      </c>
      <c r="D140" t="s">
        <v>18</v>
      </c>
      <c r="E140" t="s">
        <v>143</v>
      </c>
      <c r="F140">
        <v>965</v>
      </c>
      <c r="H140" s="9"/>
    </row>
    <row r="141" spans="1:8">
      <c r="A141" t="s">
        <v>158</v>
      </c>
      <c r="B141">
        <v>2025</v>
      </c>
      <c r="C141" s="9">
        <v>45794</v>
      </c>
      <c r="D141" t="s">
        <v>20</v>
      </c>
      <c r="E141" t="s">
        <v>143</v>
      </c>
      <c r="F141">
        <v>516</v>
      </c>
      <c r="H141" s="9"/>
    </row>
    <row r="142" spans="1:8">
      <c r="A142" t="s">
        <v>159</v>
      </c>
      <c r="B142">
        <v>2025</v>
      </c>
      <c r="C142" s="9">
        <v>45795</v>
      </c>
      <c r="D142" t="s">
        <v>22</v>
      </c>
      <c r="E142" t="s">
        <v>143</v>
      </c>
      <c r="F142">
        <v>0</v>
      </c>
      <c r="H142" s="9"/>
    </row>
    <row r="143" spans="1:8">
      <c r="A143" t="s">
        <v>160</v>
      </c>
      <c r="B143">
        <v>2025</v>
      </c>
      <c r="C143" s="9">
        <v>45796</v>
      </c>
      <c r="D143" t="s">
        <v>24</v>
      </c>
      <c r="E143" t="s">
        <v>143</v>
      </c>
      <c r="F143">
        <v>0</v>
      </c>
      <c r="H143" s="9"/>
    </row>
    <row r="144" spans="1:8">
      <c r="A144" t="s">
        <v>161</v>
      </c>
      <c r="B144">
        <v>2025</v>
      </c>
      <c r="C144" s="9">
        <v>45797</v>
      </c>
      <c r="D144" t="s">
        <v>7</v>
      </c>
      <c r="E144" t="s">
        <v>143</v>
      </c>
      <c r="F144">
        <v>751</v>
      </c>
      <c r="H144" s="9"/>
    </row>
    <row r="145" spans="1:8">
      <c r="A145" t="s">
        <v>162</v>
      </c>
      <c r="B145">
        <v>2025</v>
      </c>
      <c r="C145" s="9">
        <v>45798</v>
      </c>
      <c r="D145" t="s">
        <v>10</v>
      </c>
      <c r="E145" t="s">
        <v>143</v>
      </c>
      <c r="F145">
        <v>974</v>
      </c>
      <c r="H145" s="9"/>
    </row>
    <row r="146" spans="1:8">
      <c r="A146" t="s">
        <v>163</v>
      </c>
      <c r="B146">
        <v>2025</v>
      </c>
      <c r="C146" s="9">
        <v>45799</v>
      </c>
      <c r="D146" t="s">
        <v>13</v>
      </c>
      <c r="E146" t="s">
        <v>143</v>
      </c>
      <c r="F146">
        <v>570</v>
      </c>
      <c r="H146" s="9"/>
    </row>
    <row r="147" spans="1:8">
      <c r="A147" t="s">
        <v>164</v>
      </c>
      <c r="B147">
        <v>2025</v>
      </c>
      <c r="C147" s="9">
        <v>45800</v>
      </c>
      <c r="D147" t="s">
        <v>18</v>
      </c>
      <c r="E147" t="s">
        <v>143</v>
      </c>
      <c r="F147">
        <v>714</v>
      </c>
      <c r="H147" s="9"/>
    </row>
    <row r="148" spans="1:8">
      <c r="A148" t="s">
        <v>165</v>
      </c>
      <c r="B148">
        <v>2025</v>
      </c>
      <c r="C148" s="9">
        <v>45801</v>
      </c>
      <c r="D148" t="s">
        <v>20</v>
      </c>
      <c r="E148" t="s">
        <v>143</v>
      </c>
      <c r="F148">
        <v>192</v>
      </c>
      <c r="H148" s="9"/>
    </row>
    <row r="149" spans="1:8">
      <c r="A149" t="s">
        <v>166</v>
      </c>
      <c r="B149">
        <v>2025</v>
      </c>
      <c r="C149" s="9">
        <v>45802</v>
      </c>
      <c r="D149" t="s">
        <v>22</v>
      </c>
      <c r="E149" t="s">
        <v>143</v>
      </c>
      <c r="F149">
        <v>0</v>
      </c>
      <c r="H149" s="9"/>
    </row>
    <row r="150" spans="1:8">
      <c r="A150" t="s">
        <v>167</v>
      </c>
      <c r="B150">
        <v>2025</v>
      </c>
      <c r="C150" s="9">
        <v>45803</v>
      </c>
      <c r="D150" t="s">
        <v>24</v>
      </c>
      <c r="E150" t="s">
        <v>143</v>
      </c>
      <c r="F150">
        <v>0</v>
      </c>
      <c r="H150" s="9"/>
    </row>
    <row r="151" spans="1:8">
      <c r="A151" t="s">
        <v>168</v>
      </c>
      <c r="B151">
        <v>2025</v>
      </c>
      <c r="C151" s="9">
        <v>45804</v>
      </c>
      <c r="D151" t="s">
        <v>7</v>
      </c>
      <c r="E151" t="s">
        <v>143</v>
      </c>
      <c r="F151">
        <v>834.7</v>
      </c>
      <c r="H151" s="9"/>
    </row>
    <row r="152" spans="1:8">
      <c r="A152" t="s">
        <v>169</v>
      </c>
      <c r="B152">
        <v>2025</v>
      </c>
      <c r="C152" s="9">
        <v>45805</v>
      </c>
      <c r="D152" t="s">
        <v>10</v>
      </c>
      <c r="E152" t="s">
        <v>143</v>
      </c>
      <c r="F152">
        <v>801</v>
      </c>
      <c r="H152" s="9"/>
    </row>
    <row r="153" spans="1:8">
      <c r="A153" t="s">
        <v>170</v>
      </c>
      <c r="B153">
        <v>2025</v>
      </c>
      <c r="C153" s="9">
        <v>45806</v>
      </c>
      <c r="D153" t="s">
        <v>13</v>
      </c>
      <c r="E153" t="s">
        <v>143</v>
      </c>
      <c r="F153">
        <v>0</v>
      </c>
      <c r="H153" s="9"/>
    </row>
    <row r="154" spans="1:8">
      <c r="A154" t="s">
        <v>171</v>
      </c>
      <c r="B154">
        <v>2025</v>
      </c>
      <c r="C154" s="9">
        <v>45807</v>
      </c>
      <c r="D154" t="s">
        <v>18</v>
      </c>
      <c r="E154" t="s">
        <v>143</v>
      </c>
      <c r="F154">
        <v>845</v>
      </c>
      <c r="H154" s="9"/>
    </row>
    <row r="155" spans="1:8">
      <c r="A155" t="s">
        <v>172</v>
      </c>
      <c r="B155">
        <v>2025</v>
      </c>
      <c r="C155" s="9">
        <v>45808</v>
      </c>
      <c r="D155" t="s">
        <v>20</v>
      </c>
      <c r="E155" t="s">
        <v>143</v>
      </c>
      <c r="F155">
        <v>373</v>
      </c>
      <c r="H155" s="9"/>
    </row>
    <row r="156" spans="1:8">
      <c r="A156" t="s">
        <v>173</v>
      </c>
      <c r="B156">
        <v>2025</v>
      </c>
      <c r="C156" s="9">
        <v>45811</v>
      </c>
      <c r="D156" t="s">
        <v>7</v>
      </c>
      <c r="E156" t="s">
        <v>174</v>
      </c>
      <c r="F156">
        <v>791</v>
      </c>
      <c r="H156" s="9"/>
    </row>
    <row r="157" spans="1:8">
      <c r="A157" t="s">
        <v>175</v>
      </c>
      <c r="B157">
        <v>2025</v>
      </c>
      <c r="C157" s="9">
        <v>45812</v>
      </c>
      <c r="D157" t="s">
        <v>10</v>
      </c>
      <c r="E157" t="s">
        <v>174</v>
      </c>
      <c r="F157">
        <v>786</v>
      </c>
      <c r="H157" s="9"/>
    </row>
    <row r="158" spans="1:8">
      <c r="A158" t="s">
        <v>176</v>
      </c>
      <c r="B158">
        <v>2025</v>
      </c>
      <c r="C158" s="9">
        <v>45813</v>
      </c>
      <c r="D158" t="s">
        <v>13</v>
      </c>
      <c r="E158" t="s">
        <v>174</v>
      </c>
      <c r="F158">
        <v>824</v>
      </c>
      <c r="H158" s="9"/>
    </row>
    <row r="159" spans="1:8">
      <c r="A159" t="s">
        <v>177</v>
      </c>
      <c r="B159">
        <v>2025</v>
      </c>
      <c r="C159" s="9">
        <v>45814</v>
      </c>
      <c r="D159" t="s">
        <v>18</v>
      </c>
      <c r="E159" t="s">
        <v>174</v>
      </c>
      <c r="F159">
        <v>1113.4000000000001</v>
      </c>
      <c r="H159" s="9"/>
    </row>
    <row r="160" spans="1:8">
      <c r="A160" t="s">
        <v>178</v>
      </c>
      <c r="B160">
        <v>2025</v>
      </c>
      <c r="C160" s="9">
        <v>45815</v>
      </c>
      <c r="D160" t="s">
        <v>20</v>
      </c>
      <c r="E160" t="s">
        <v>174</v>
      </c>
      <c r="F160">
        <v>372</v>
      </c>
      <c r="H160" s="9"/>
    </row>
    <row r="161" spans="1:8">
      <c r="A161" t="s">
        <v>179</v>
      </c>
      <c r="B161">
        <v>2025</v>
      </c>
      <c r="C161" s="9">
        <v>45816</v>
      </c>
      <c r="D161" t="s">
        <v>22</v>
      </c>
      <c r="E161" t="s">
        <v>174</v>
      </c>
      <c r="F161">
        <v>0</v>
      </c>
      <c r="H161" s="9"/>
    </row>
    <row r="162" spans="1:8">
      <c r="A162" t="s">
        <v>180</v>
      </c>
      <c r="B162">
        <v>2025</v>
      </c>
      <c r="C162" s="9">
        <v>45817</v>
      </c>
      <c r="D162" t="s">
        <v>24</v>
      </c>
      <c r="E162" t="s">
        <v>174</v>
      </c>
      <c r="F162">
        <v>0</v>
      </c>
      <c r="H162" s="9"/>
    </row>
    <row r="163" spans="1:8">
      <c r="A163" t="s">
        <v>181</v>
      </c>
      <c r="B163">
        <v>2025</v>
      </c>
      <c r="C163" s="9">
        <v>45809</v>
      </c>
      <c r="D163" t="s">
        <v>22</v>
      </c>
      <c r="E163" t="s">
        <v>174</v>
      </c>
      <c r="F163">
        <v>0</v>
      </c>
      <c r="H163" s="9"/>
    </row>
    <row r="164" spans="1:8">
      <c r="A164" t="s">
        <v>182</v>
      </c>
      <c r="B164">
        <v>2025</v>
      </c>
      <c r="C164" s="9">
        <v>45810</v>
      </c>
      <c r="D164" t="s">
        <v>24</v>
      </c>
      <c r="E164" t="s">
        <v>174</v>
      </c>
      <c r="F164">
        <v>0</v>
      </c>
      <c r="H164" s="9"/>
    </row>
    <row r="165" spans="1:8">
      <c r="A165" t="s">
        <v>183</v>
      </c>
      <c r="B165">
        <v>2025</v>
      </c>
      <c r="C165" s="9">
        <v>45818</v>
      </c>
      <c r="D165" t="s">
        <v>7</v>
      </c>
      <c r="E165" t="s">
        <v>174</v>
      </c>
      <c r="F165">
        <v>829.8</v>
      </c>
      <c r="H165" s="9"/>
    </row>
    <row r="166" spans="1:8">
      <c r="A166" t="s">
        <v>184</v>
      </c>
      <c r="B166">
        <v>2025</v>
      </c>
      <c r="C166" s="9">
        <v>45819</v>
      </c>
      <c r="D166" t="s">
        <v>10</v>
      </c>
      <c r="E166" t="s">
        <v>174</v>
      </c>
      <c r="F166">
        <v>908</v>
      </c>
      <c r="H166" s="9"/>
    </row>
    <row r="167" spans="1:8">
      <c r="A167" t="s">
        <v>185</v>
      </c>
      <c r="B167">
        <v>2025</v>
      </c>
      <c r="C167" s="9">
        <v>45820</v>
      </c>
      <c r="D167" t="s">
        <v>13</v>
      </c>
      <c r="E167" t="s">
        <v>174</v>
      </c>
      <c r="F167">
        <v>569</v>
      </c>
      <c r="H167" s="9"/>
    </row>
    <row r="168" spans="1:8">
      <c r="A168" t="s">
        <v>186</v>
      </c>
      <c r="B168">
        <v>2025</v>
      </c>
      <c r="C168" s="9">
        <v>45821</v>
      </c>
      <c r="D168" t="s">
        <v>18</v>
      </c>
      <c r="E168" t="s">
        <v>174</v>
      </c>
      <c r="F168">
        <v>792</v>
      </c>
      <c r="H168" s="9"/>
    </row>
    <row r="169" spans="1:8">
      <c r="A169" t="s">
        <v>187</v>
      </c>
      <c r="B169">
        <v>2025</v>
      </c>
      <c r="C169" s="9">
        <v>45822</v>
      </c>
      <c r="D169" t="s">
        <v>20</v>
      </c>
      <c r="E169" t="s">
        <v>174</v>
      </c>
      <c r="F169">
        <v>350</v>
      </c>
      <c r="H169" s="9"/>
    </row>
    <row r="170" spans="1:8">
      <c r="A170" t="s">
        <v>188</v>
      </c>
      <c r="B170">
        <v>2025</v>
      </c>
      <c r="C170" s="9">
        <v>45823</v>
      </c>
      <c r="D170" t="s">
        <v>22</v>
      </c>
      <c r="E170" t="s">
        <v>174</v>
      </c>
      <c r="F170">
        <v>0</v>
      </c>
      <c r="H170" s="9"/>
    </row>
    <row r="171" spans="1:8">
      <c r="A171" t="s">
        <v>189</v>
      </c>
      <c r="B171">
        <v>2025</v>
      </c>
      <c r="C171" s="9">
        <v>45824</v>
      </c>
      <c r="D171" t="s">
        <v>24</v>
      </c>
      <c r="E171" t="s">
        <v>174</v>
      </c>
      <c r="F171">
        <v>0</v>
      </c>
      <c r="H171" s="9"/>
    </row>
    <row r="172" spans="1:8">
      <c r="A172" t="s">
        <v>190</v>
      </c>
      <c r="B172">
        <v>2025</v>
      </c>
      <c r="C172" s="9">
        <v>45825</v>
      </c>
      <c r="D172" t="s">
        <v>7</v>
      </c>
      <c r="E172" t="s">
        <v>174</v>
      </c>
      <c r="F172">
        <v>852</v>
      </c>
      <c r="H172" s="9"/>
    </row>
    <row r="173" spans="1:8">
      <c r="A173" t="s">
        <v>191</v>
      </c>
      <c r="B173">
        <v>2025</v>
      </c>
      <c r="C173" s="9">
        <v>45826</v>
      </c>
      <c r="D173" t="s">
        <v>10</v>
      </c>
      <c r="E173" t="s">
        <v>174</v>
      </c>
      <c r="F173">
        <v>1023</v>
      </c>
      <c r="H173" s="9"/>
    </row>
    <row r="174" spans="1:8">
      <c r="A174" t="s">
        <v>192</v>
      </c>
      <c r="B174">
        <v>2025</v>
      </c>
      <c r="C174" s="9">
        <v>45827</v>
      </c>
      <c r="D174" t="s">
        <v>13</v>
      </c>
      <c r="E174" t="s">
        <v>174</v>
      </c>
      <c r="F174">
        <v>654</v>
      </c>
      <c r="H174" s="9"/>
    </row>
    <row r="175" spans="1:8">
      <c r="A175" t="s">
        <v>193</v>
      </c>
      <c r="B175">
        <v>2025</v>
      </c>
      <c r="C175" s="9">
        <v>45828</v>
      </c>
      <c r="D175" t="s">
        <v>18</v>
      </c>
      <c r="E175" t="s">
        <v>174</v>
      </c>
      <c r="F175">
        <v>815</v>
      </c>
      <c r="H175" s="9"/>
    </row>
    <row r="176" spans="1:8">
      <c r="A176" t="s">
        <v>194</v>
      </c>
      <c r="B176">
        <v>2025</v>
      </c>
      <c r="C176" s="9">
        <v>45829</v>
      </c>
      <c r="D176" t="s">
        <v>20</v>
      </c>
      <c r="E176" t="s">
        <v>174</v>
      </c>
      <c r="F176">
        <v>612</v>
      </c>
      <c r="H176" s="9"/>
    </row>
    <row r="177" spans="1:8">
      <c r="A177" t="s">
        <v>195</v>
      </c>
      <c r="B177">
        <v>2025</v>
      </c>
      <c r="C177" s="9">
        <v>45830</v>
      </c>
      <c r="D177" t="s">
        <v>22</v>
      </c>
      <c r="E177" t="s">
        <v>174</v>
      </c>
      <c r="F177">
        <v>0</v>
      </c>
      <c r="H177" s="9"/>
    </row>
    <row r="178" spans="1:8">
      <c r="A178" t="s">
        <v>196</v>
      </c>
      <c r="B178">
        <v>2025</v>
      </c>
      <c r="C178" s="9">
        <v>45831</v>
      </c>
      <c r="D178" t="s">
        <v>24</v>
      </c>
      <c r="E178" t="s">
        <v>174</v>
      </c>
      <c r="F178">
        <v>0</v>
      </c>
      <c r="H178" s="9"/>
    </row>
    <row r="179" spans="1:8">
      <c r="A179" t="s">
        <v>197</v>
      </c>
      <c r="B179">
        <v>2025</v>
      </c>
      <c r="C179" s="9">
        <v>45832</v>
      </c>
      <c r="D179" t="s">
        <v>7</v>
      </c>
      <c r="E179" t="s">
        <v>174</v>
      </c>
      <c r="F179">
        <v>573</v>
      </c>
      <c r="H179" s="9"/>
    </row>
    <row r="180" spans="1:8">
      <c r="A180" t="s">
        <v>198</v>
      </c>
      <c r="B180">
        <v>2025</v>
      </c>
      <c r="C180" s="9">
        <v>45833</v>
      </c>
      <c r="D180" t="s">
        <v>10</v>
      </c>
      <c r="E180" t="s">
        <v>174</v>
      </c>
      <c r="F180">
        <v>781</v>
      </c>
      <c r="H180" s="9"/>
    </row>
    <row r="181" spans="1:8">
      <c r="A181" t="s">
        <v>199</v>
      </c>
      <c r="B181">
        <v>2025</v>
      </c>
      <c r="C181" s="9">
        <v>45834</v>
      </c>
      <c r="D181" t="s">
        <v>13</v>
      </c>
      <c r="E181" t="s">
        <v>174</v>
      </c>
      <c r="F181">
        <v>409</v>
      </c>
      <c r="H181" s="9"/>
    </row>
    <row r="182" spans="1:8">
      <c r="A182" t="s">
        <v>200</v>
      </c>
      <c r="B182">
        <v>2025</v>
      </c>
      <c r="C182" s="9">
        <v>45835</v>
      </c>
      <c r="D182" t="s">
        <v>18</v>
      </c>
      <c r="E182" t="s">
        <v>174</v>
      </c>
      <c r="F182">
        <v>947</v>
      </c>
      <c r="H182" s="9"/>
    </row>
    <row r="183" spans="1:8">
      <c r="A183" t="s">
        <v>201</v>
      </c>
      <c r="B183">
        <v>2025</v>
      </c>
      <c r="C183" s="9">
        <v>45836</v>
      </c>
      <c r="D183" t="s">
        <v>20</v>
      </c>
      <c r="E183" t="s">
        <v>174</v>
      </c>
      <c r="F183">
        <v>221</v>
      </c>
      <c r="H183" s="9"/>
    </row>
    <row r="184" spans="1:8">
      <c r="A184" t="s">
        <v>202</v>
      </c>
      <c r="B184">
        <v>2025</v>
      </c>
      <c r="C184" s="9">
        <v>45837</v>
      </c>
      <c r="D184" t="s">
        <v>22</v>
      </c>
      <c r="E184" t="s">
        <v>174</v>
      </c>
      <c r="F184">
        <v>0</v>
      </c>
      <c r="H184" s="9"/>
    </row>
    <row r="185" spans="1:8">
      <c r="A185" t="s">
        <v>203</v>
      </c>
      <c r="B185">
        <v>2025</v>
      </c>
      <c r="C185" s="9">
        <v>45838</v>
      </c>
      <c r="D185" t="s">
        <v>24</v>
      </c>
      <c r="E185" t="s">
        <v>174</v>
      </c>
      <c r="F185">
        <v>0</v>
      </c>
      <c r="H185" s="9"/>
    </row>
    <row r="186" spans="1:8">
      <c r="A186" t="s">
        <v>204</v>
      </c>
      <c r="B186">
        <v>2025</v>
      </c>
      <c r="C186" s="9">
        <v>45839</v>
      </c>
      <c r="D186" t="s">
        <v>7</v>
      </c>
      <c r="E186" t="s">
        <v>8</v>
      </c>
      <c r="F186">
        <v>709</v>
      </c>
      <c r="H186" s="9"/>
    </row>
    <row r="187" spans="1:8">
      <c r="A187" t="s">
        <v>205</v>
      </c>
      <c r="B187">
        <v>2025</v>
      </c>
      <c r="C187" s="9">
        <v>45842</v>
      </c>
      <c r="D187" t="s">
        <v>18</v>
      </c>
      <c r="E187" t="s">
        <v>8</v>
      </c>
      <c r="F187">
        <v>622</v>
      </c>
      <c r="H187" s="9"/>
    </row>
    <row r="188" spans="1:8">
      <c r="A188" t="s">
        <v>206</v>
      </c>
      <c r="B188">
        <v>2025</v>
      </c>
      <c r="C188" s="9">
        <v>45843</v>
      </c>
      <c r="D188" t="s">
        <v>20</v>
      </c>
      <c r="E188" t="s">
        <v>8</v>
      </c>
      <c r="F188">
        <v>268</v>
      </c>
      <c r="H188" s="9"/>
    </row>
    <row r="189" spans="1:8">
      <c r="A189" t="s">
        <v>207</v>
      </c>
      <c r="B189">
        <v>2025</v>
      </c>
      <c r="C189" s="9">
        <v>45844</v>
      </c>
      <c r="D189" t="s">
        <v>22</v>
      </c>
      <c r="E189" t="s">
        <v>8</v>
      </c>
      <c r="F189">
        <v>0</v>
      </c>
      <c r="H189" s="9"/>
    </row>
    <row r="190" spans="1:8">
      <c r="A190" t="s">
        <v>208</v>
      </c>
      <c r="B190">
        <v>2025</v>
      </c>
      <c r="C190" s="9">
        <v>45845</v>
      </c>
      <c r="D190" t="s">
        <v>24</v>
      </c>
      <c r="E190" t="s">
        <v>8</v>
      </c>
      <c r="F190">
        <v>0</v>
      </c>
      <c r="H190" s="9"/>
    </row>
    <row r="191" spans="1:8">
      <c r="A191" t="s">
        <v>209</v>
      </c>
      <c r="B191">
        <v>2025</v>
      </c>
      <c r="C191" s="9">
        <v>45846</v>
      </c>
      <c r="D191" t="s">
        <v>7</v>
      </c>
      <c r="E191" t="s">
        <v>8</v>
      </c>
      <c r="F191">
        <v>836</v>
      </c>
      <c r="H191" s="9"/>
    </row>
    <row r="192" spans="1:8">
      <c r="A192" t="s">
        <v>210</v>
      </c>
      <c r="B192">
        <v>2025</v>
      </c>
      <c r="C192" s="9">
        <v>45847</v>
      </c>
      <c r="D192" t="s">
        <v>10</v>
      </c>
      <c r="E192" t="s">
        <v>8</v>
      </c>
      <c r="F192">
        <v>781</v>
      </c>
      <c r="H192" s="9"/>
    </row>
    <row r="193" spans="1:8">
      <c r="A193" t="s">
        <v>211</v>
      </c>
      <c r="B193">
        <v>2025</v>
      </c>
      <c r="C193" s="9">
        <v>45848</v>
      </c>
      <c r="D193" t="s">
        <v>13</v>
      </c>
      <c r="E193" t="s">
        <v>8</v>
      </c>
      <c r="F193">
        <v>771.8</v>
      </c>
      <c r="H193" s="9"/>
    </row>
    <row r="194" spans="1:8">
      <c r="A194" t="s">
        <v>212</v>
      </c>
      <c r="B194">
        <v>2025</v>
      </c>
      <c r="C194" s="9">
        <v>45849</v>
      </c>
      <c r="D194" t="s">
        <v>18</v>
      </c>
      <c r="E194" t="s">
        <v>8</v>
      </c>
      <c r="F194">
        <v>332</v>
      </c>
      <c r="H194" s="9"/>
    </row>
    <row r="195" spans="1:8">
      <c r="A195" t="s">
        <v>213</v>
      </c>
      <c r="B195">
        <v>2025</v>
      </c>
      <c r="C195" s="9">
        <v>45850</v>
      </c>
      <c r="D195" t="s">
        <v>20</v>
      </c>
      <c r="E195" t="s">
        <v>8</v>
      </c>
      <c r="F195">
        <v>315</v>
      </c>
      <c r="H195" s="9"/>
    </row>
    <row r="196" spans="1:8">
      <c r="A196" t="s">
        <v>214</v>
      </c>
      <c r="B196">
        <v>2025</v>
      </c>
      <c r="C196" s="9">
        <v>45851</v>
      </c>
      <c r="D196" t="s">
        <v>22</v>
      </c>
      <c r="E196" t="s">
        <v>8</v>
      </c>
      <c r="F196">
        <v>0</v>
      </c>
      <c r="H196" s="9"/>
    </row>
    <row r="197" spans="1:8">
      <c r="A197" t="s">
        <v>215</v>
      </c>
      <c r="B197">
        <v>2025</v>
      </c>
      <c r="C197" s="9">
        <v>45852</v>
      </c>
      <c r="D197" t="s">
        <v>24</v>
      </c>
      <c r="E197" t="s">
        <v>8</v>
      </c>
      <c r="F197">
        <v>0</v>
      </c>
      <c r="H197" s="9"/>
    </row>
    <row r="198" spans="1:8">
      <c r="A198" t="s">
        <v>216</v>
      </c>
      <c r="B198">
        <v>2025</v>
      </c>
      <c r="C198" s="9">
        <v>45853</v>
      </c>
      <c r="D198" t="s">
        <v>7</v>
      </c>
      <c r="E198" t="s">
        <v>8</v>
      </c>
      <c r="F198">
        <v>460</v>
      </c>
      <c r="H198" s="9"/>
    </row>
    <row r="199" spans="1:8">
      <c r="A199" t="s">
        <v>217</v>
      </c>
      <c r="B199">
        <v>2025</v>
      </c>
      <c r="C199" s="9">
        <v>45854</v>
      </c>
      <c r="D199" t="s">
        <v>10</v>
      </c>
      <c r="E199" t="s">
        <v>8</v>
      </c>
      <c r="F199">
        <v>487</v>
      </c>
      <c r="H199" s="9"/>
    </row>
    <row r="200" spans="1:8">
      <c r="A200" t="s">
        <v>218</v>
      </c>
      <c r="B200">
        <v>2025</v>
      </c>
      <c r="C200" s="9">
        <v>45855</v>
      </c>
      <c r="D200" t="s">
        <v>13</v>
      </c>
      <c r="E200" t="s">
        <v>8</v>
      </c>
      <c r="F200">
        <v>429</v>
      </c>
      <c r="H200" s="9"/>
    </row>
    <row r="201" spans="1:8">
      <c r="A201" t="s">
        <v>219</v>
      </c>
      <c r="B201">
        <v>2025</v>
      </c>
      <c r="C201" s="9">
        <v>45856</v>
      </c>
      <c r="D201" t="s">
        <v>18</v>
      </c>
      <c r="E201" t="s">
        <v>8</v>
      </c>
      <c r="F201">
        <v>373</v>
      </c>
      <c r="H201" s="9"/>
    </row>
    <row r="202" spans="1:8">
      <c r="A202" t="s">
        <v>220</v>
      </c>
      <c r="B202">
        <v>2025</v>
      </c>
      <c r="C202" s="9">
        <v>45857</v>
      </c>
      <c r="D202" t="s">
        <v>20</v>
      </c>
      <c r="E202" t="s">
        <v>8</v>
      </c>
      <c r="F202">
        <v>224</v>
      </c>
      <c r="H202" s="9"/>
    </row>
    <row r="203" spans="1:8">
      <c r="A203" t="s">
        <v>221</v>
      </c>
      <c r="B203">
        <v>2025</v>
      </c>
      <c r="C203" s="9">
        <v>45858</v>
      </c>
      <c r="D203" t="s">
        <v>22</v>
      </c>
      <c r="E203" t="s">
        <v>8</v>
      </c>
      <c r="F203">
        <v>0</v>
      </c>
      <c r="H203" s="9"/>
    </row>
    <row r="204" spans="1:8">
      <c r="A204" t="s">
        <v>222</v>
      </c>
      <c r="B204">
        <v>2025</v>
      </c>
      <c r="C204" s="9">
        <v>45859</v>
      </c>
      <c r="D204" t="s">
        <v>24</v>
      </c>
      <c r="E204" t="s">
        <v>8</v>
      </c>
      <c r="F204">
        <v>0</v>
      </c>
      <c r="H204" s="9"/>
    </row>
    <row r="205" spans="1:8">
      <c r="A205" t="s">
        <v>223</v>
      </c>
      <c r="B205">
        <v>2025</v>
      </c>
      <c r="C205" s="9">
        <v>45860</v>
      </c>
      <c r="D205" t="s">
        <v>7</v>
      </c>
      <c r="E205" t="s">
        <v>8</v>
      </c>
      <c r="F205">
        <v>314</v>
      </c>
      <c r="H205" s="9"/>
    </row>
    <row r="206" spans="1:8">
      <c r="A206" t="s">
        <v>224</v>
      </c>
      <c r="B206">
        <v>2025</v>
      </c>
      <c r="C206" s="9">
        <v>45861</v>
      </c>
      <c r="D206" t="s">
        <v>10</v>
      </c>
      <c r="E206" t="s">
        <v>8</v>
      </c>
      <c r="F206">
        <v>1052</v>
      </c>
      <c r="H206" s="9"/>
    </row>
    <row r="207" spans="1:8">
      <c r="A207" t="s">
        <v>225</v>
      </c>
      <c r="B207">
        <v>2025</v>
      </c>
      <c r="C207" s="9">
        <v>45862</v>
      </c>
      <c r="D207" t="s">
        <v>13</v>
      </c>
      <c r="E207" t="s">
        <v>8</v>
      </c>
      <c r="F207">
        <v>1143</v>
      </c>
      <c r="H207" s="9"/>
    </row>
    <row r="208" spans="1:8">
      <c r="A208" t="s">
        <v>226</v>
      </c>
      <c r="B208">
        <v>2025</v>
      </c>
      <c r="C208" s="9">
        <v>45863</v>
      </c>
      <c r="D208" t="s">
        <v>18</v>
      </c>
      <c r="E208" t="s">
        <v>8</v>
      </c>
      <c r="F208">
        <v>460</v>
      </c>
      <c r="H208" s="9"/>
    </row>
    <row r="209" spans="1:8">
      <c r="A209" t="s">
        <v>227</v>
      </c>
      <c r="B209">
        <v>2025</v>
      </c>
      <c r="C209" s="9">
        <v>45864</v>
      </c>
      <c r="D209" t="s">
        <v>20</v>
      </c>
      <c r="E209" t="s">
        <v>8</v>
      </c>
      <c r="F209">
        <v>181</v>
      </c>
      <c r="H209" s="9"/>
    </row>
    <row r="210" spans="1:8">
      <c r="A210" t="s">
        <v>228</v>
      </c>
      <c r="B210">
        <v>2025</v>
      </c>
      <c r="C210" s="9">
        <v>45865</v>
      </c>
      <c r="D210" t="s">
        <v>22</v>
      </c>
      <c r="E210" t="s">
        <v>8</v>
      </c>
      <c r="F210">
        <v>0</v>
      </c>
      <c r="H210" s="9"/>
    </row>
    <row r="211" spans="1:8">
      <c r="A211" t="s">
        <v>229</v>
      </c>
      <c r="B211">
        <v>2025</v>
      </c>
      <c r="C211" s="9">
        <v>45866</v>
      </c>
      <c r="D211" t="s">
        <v>24</v>
      </c>
      <c r="E211" t="s">
        <v>8</v>
      </c>
      <c r="F211">
        <v>0</v>
      </c>
      <c r="H211" s="9"/>
    </row>
    <row r="212" spans="1:8">
      <c r="A212" t="s">
        <v>230</v>
      </c>
      <c r="B212">
        <v>2025</v>
      </c>
      <c r="C212" s="9">
        <v>45867</v>
      </c>
      <c r="D212" t="s">
        <v>7</v>
      </c>
      <c r="E212" t="s">
        <v>8</v>
      </c>
      <c r="F212">
        <v>372</v>
      </c>
      <c r="H212" s="9"/>
    </row>
    <row r="213" spans="1:8">
      <c r="A213" t="s">
        <v>231</v>
      </c>
      <c r="B213">
        <v>2025</v>
      </c>
      <c r="C213" s="9">
        <v>45868</v>
      </c>
      <c r="D213" t="s">
        <v>10</v>
      </c>
      <c r="E213" t="s">
        <v>8</v>
      </c>
      <c r="F213">
        <v>1104</v>
      </c>
      <c r="H213" s="9"/>
    </row>
    <row r="214" spans="1:8">
      <c r="A214" t="s">
        <v>232</v>
      </c>
      <c r="B214">
        <v>2025</v>
      </c>
      <c r="C214" s="9">
        <v>45869</v>
      </c>
      <c r="D214" t="s">
        <v>13</v>
      </c>
      <c r="E214" t="s">
        <v>8</v>
      </c>
      <c r="F214">
        <v>1073</v>
      </c>
      <c r="H214" s="9"/>
    </row>
    <row r="215" spans="1:8">
      <c r="A215" t="s">
        <v>233</v>
      </c>
      <c r="B215">
        <v>2025</v>
      </c>
      <c r="C215" s="9">
        <v>45870</v>
      </c>
      <c r="D215" t="s">
        <v>18</v>
      </c>
      <c r="E215" t="s">
        <v>234</v>
      </c>
      <c r="F215">
        <v>952</v>
      </c>
      <c r="H215" s="9"/>
    </row>
    <row r="216" spans="1:8">
      <c r="A216" t="s">
        <v>235</v>
      </c>
      <c r="B216">
        <v>2025</v>
      </c>
      <c r="C216" s="9">
        <v>45871</v>
      </c>
      <c r="D216" t="s">
        <v>20</v>
      </c>
      <c r="E216" t="s">
        <v>234</v>
      </c>
      <c r="F216">
        <v>310</v>
      </c>
      <c r="H216" s="9"/>
    </row>
    <row r="217" spans="1:8">
      <c r="A217" t="s">
        <v>236</v>
      </c>
      <c r="B217">
        <v>2025</v>
      </c>
      <c r="C217" s="9">
        <v>45872</v>
      </c>
      <c r="D217" t="s">
        <v>22</v>
      </c>
      <c r="E217" t="s">
        <v>234</v>
      </c>
      <c r="F217">
        <v>0</v>
      </c>
      <c r="H217" s="9"/>
    </row>
    <row r="218" spans="1:8">
      <c r="A218" t="s">
        <v>237</v>
      </c>
      <c r="B218">
        <v>2025</v>
      </c>
      <c r="C218" s="9">
        <v>45873</v>
      </c>
      <c r="D218" t="s">
        <v>24</v>
      </c>
      <c r="E218" t="s">
        <v>234</v>
      </c>
      <c r="F218">
        <v>0</v>
      </c>
      <c r="H218" s="9"/>
    </row>
    <row r="219" spans="1:8">
      <c r="A219" t="s">
        <v>238</v>
      </c>
      <c r="B219">
        <v>2025</v>
      </c>
      <c r="C219" s="9">
        <v>45874</v>
      </c>
      <c r="D219" t="s">
        <v>7</v>
      </c>
      <c r="E219" t="s">
        <v>234</v>
      </c>
      <c r="F219">
        <v>505</v>
      </c>
      <c r="H219" s="9"/>
    </row>
    <row r="220" spans="1:8">
      <c r="A220" t="s">
        <v>239</v>
      </c>
      <c r="B220">
        <v>2025</v>
      </c>
      <c r="C220" s="9">
        <v>45875</v>
      </c>
      <c r="D220" t="s">
        <v>10</v>
      </c>
      <c r="E220" t="s">
        <v>234</v>
      </c>
      <c r="F220">
        <v>627</v>
      </c>
      <c r="H220" s="9"/>
    </row>
    <row r="221" spans="1:8">
      <c r="A221" t="s">
        <v>240</v>
      </c>
      <c r="B221">
        <v>2025</v>
      </c>
      <c r="C221" s="9">
        <v>45876</v>
      </c>
      <c r="D221" t="s">
        <v>13</v>
      </c>
      <c r="E221" t="s">
        <v>234</v>
      </c>
      <c r="F221">
        <v>426</v>
      </c>
      <c r="H221" s="9"/>
    </row>
    <row r="222" spans="1:8">
      <c r="A222" t="s">
        <v>241</v>
      </c>
      <c r="B222">
        <v>2025</v>
      </c>
      <c r="C222" s="9">
        <v>45877</v>
      </c>
      <c r="D222" t="s">
        <v>18</v>
      </c>
      <c r="E222" t="s">
        <v>234</v>
      </c>
      <c r="F222">
        <v>403</v>
      </c>
      <c r="H222" s="9"/>
    </row>
    <row r="223" spans="1:8">
      <c r="A223" t="s">
        <v>242</v>
      </c>
      <c r="B223">
        <v>2025</v>
      </c>
      <c r="C223" s="9">
        <v>45878</v>
      </c>
      <c r="D223" t="s">
        <v>20</v>
      </c>
      <c r="E223" t="s">
        <v>234</v>
      </c>
      <c r="F223">
        <v>441</v>
      </c>
      <c r="H223" s="9"/>
    </row>
    <row r="224" spans="1:8">
      <c r="A224" t="s">
        <v>243</v>
      </c>
      <c r="B224">
        <v>2025</v>
      </c>
      <c r="C224" s="9">
        <v>45879</v>
      </c>
      <c r="D224" t="s">
        <v>22</v>
      </c>
      <c r="E224" t="s">
        <v>234</v>
      </c>
      <c r="F224">
        <v>0</v>
      </c>
      <c r="H224" s="9"/>
    </row>
    <row r="225" spans="1:8">
      <c r="A225" t="s">
        <v>244</v>
      </c>
      <c r="B225">
        <v>2025</v>
      </c>
      <c r="C225" s="9">
        <v>45880</v>
      </c>
      <c r="D225" t="s">
        <v>24</v>
      </c>
      <c r="E225" t="s">
        <v>234</v>
      </c>
      <c r="F225">
        <v>0</v>
      </c>
      <c r="H225" s="9"/>
    </row>
    <row r="226" spans="1:8">
      <c r="A226" t="s">
        <v>245</v>
      </c>
      <c r="B226">
        <v>2025</v>
      </c>
      <c r="C226" s="9">
        <v>45881</v>
      </c>
      <c r="D226" t="s">
        <v>7</v>
      </c>
      <c r="E226" t="s">
        <v>234</v>
      </c>
      <c r="F226">
        <v>1196</v>
      </c>
      <c r="H226" s="9"/>
    </row>
    <row r="227" spans="1:8">
      <c r="A227" t="s">
        <v>246</v>
      </c>
      <c r="B227">
        <v>2025</v>
      </c>
      <c r="C227" s="9">
        <v>45882</v>
      </c>
      <c r="D227" t="s">
        <v>10</v>
      </c>
      <c r="E227" t="s">
        <v>234</v>
      </c>
      <c r="F227">
        <v>1096</v>
      </c>
      <c r="H227" s="9"/>
    </row>
    <row r="228" spans="1:8">
      <c r="A228" t="s">
        <v>247</v>
      </c>
      <c r="B228">
        <v>2025</v>
      </c>
      <c r="C228" s="9">
        <v>45883</v>
      </c>
      <c r="D228" t="s">
        <v>13</v>
      </c>
      <c r="E228" t="s">
        <v>234</v>
      </c>
      <c r="F228">
        <v>924.8</v>
      </c>
      <c r="H228" s="9"/>
    </row>
    <row r="229" spans="1:8">
      <c r="A229" t="s">
        <v>248</v>
      </c>
      <c r="B229">
        <v>2025</v>
      </c>
      <c r="C229" s="9">
        <v>45884</v>
      </c>
      <c r="D229" t="s">
        <v>18</v>
      </c>
      <c r="E229" t="s">
        <v>234</v>
      </c>
      <c r="F229">
        <v>0</v>
      </c>
      <c r="H229" s="9"/>
    </row>
    <row r="230" spans="1:8">
      <c r="A230" t="s">
        <v>249</v>
      </c>
      <c r="B230">
        <v>2025</v>
      </c>
      <c r="C230" s="9">
        <v>45885</v>
      </c>
      <c r="D230" t="s">
        <v>20</v>
      </c>
      <c r="E230" t="s">
        <v>234</v>
      </c>
      <c r="F230">
        <v>284</v>
      </c>
      <c r="H230" s="9"/>
    </row>
    <row r="231" spans="1:8">
      <c r="A231" t="s">
        <v>250</v>
      </c>
      <c r="B231">
        <v>2025</v>
      </c>
      <c r="C231" s="9">
        <v>45886</v>
      </c>
      <c r="D231" t="s">
        <v>22</v>
      </c>
      <c r="E231" t="s">
        <v>234</v>
      </c>
      <c r="F231">
        <v>0</v>
      </c>
      <c r="H231" s="9"/>
    </row>
    <row r="232" spans="1:8">
      <c r="A232" t="s">
        <v>251</v>
      </c>
      <c r="B232">
        <v>2025</v>
      </c>
      <c r="C232" s="9">
        <v>45887</v>
      </c>
      <c r="D232" t="s">
        <v>24</v>
      </c>
      <c r="E232" t="s">
        <v>234</v>
      </c>
      <c r="F232">
        <v>0</v>
      </c>
      <c r="H232" s="9"/>
    </row>
    <row r="233" spans="1:8">
      <c r="A233" t="s">
        <v>252</v>
      </c>
      <c r="B233">
        <v>2025</v>
      </c>
      <c r="C233" s="9">
        <v>45888</v>
      </c>
      <c r="D233" t="s">
        <v>7</v>
      </c>
      <c r="E233" t="s">
        <v>234</v>
      </c>
      <c r="F233">
        <v>687</v>
      </c>
      <c r="H233" s="9"/>
    </row>
    <row r="234" spans="1:8">
      <c r="A234" t="s">
        <v>253</v>
      </c>
      <c r="B234">
        <v>2025</v>
      </c>
      <c r="C234" s="9">
        <v>45889</v>
      </c>
      <c r="D234" t="s">
        <v>10</v>
      </c>
      <c r="E234" t="s">
        <v>234</v>
      </c>
      <c r="F234">
        <v>785</v>
      </c>
      <c r="H234" s="9"/>
    </row>
    <row r="235" spans="1:8">
      <c r="A235" t="s">
        <v>254</v>
      </c>
      <c r="B235">
        <v>2025</v>
      </c>
      <c r="C235" s="9">
        <v>45890</v>
      </c>
      <c r="D235" t="s">
        <v>13</v>
      </c>
      <c r="E235" t="s">
        <v>234</v>
      </c>
      <c r="F235">
        <v>823.2</v>
      </c>
      <c r="H235" s="9"/>
    </row>
    <row r="236" spans="1:8">
      <c r="A236" t="s">
        <v>255</v>
      </c>
      <c r="B236">
        <v>2025</v>
      </c>
      <c r="C236" s="9">
        <v>45891</v>
      </c>
      <c r="D236" t="s">
        <v>18</v>
      </c>
      <c r="E236" t="s">
        <v>234</v>
      </c>
      <c r="F236">
        <v>881</v>
      </c>
      <c r="H236" s="9"/>
    </row>
    <row r="237" spans="1:8">
      <c r="A237" t="s">
        <v>256</v>
      </c>
      <c r="B237">
        <v>2025</v>
      </c>
      <c r="C237" s="9">
        <v>45892</v>
      </c>
      <c r="D237" t="s">
        <v>20</v>
      </c>
      <c r="E237" t="s">
        <v>234</v>
      </c>
      <c r="F237">
        <v>45</v>
      </c>
      <c r="H237" s="9"/>
    </row>
    <row r="238" spans="1:8">
      <c r="A238" t="s">
        <v>257</v>
      </c>
      <c r="B238">
        <v>2025</v>
      </c>
      <c r="C238" s="9">
        <v>45893</v>
      </c>
      <c r="D238" t="s">
        <v>22</v>
      </c>
      <c r="E238" t="s">
        <v>234</v>
      </c>
      <c r="F238">
        <v>0</v>
      </c>
      <c r="H238" s="9"/>
    </row>
    <row r="239" spans="1:8">
      <c r="A239" t="s">
        <v>258</v>
      </c>
      <c r="B239">
        <v>2025</v>
      </c>
      <c r="C239" s="9">
        <v>45894</v>
      </c>
      <c r="D239" t="s">
        <v>24</v>
      </c>
      <c r="E239" t="s">
        <v>234</v>
      </c>
      <c r="F239">
        <v>0</v>
      </c>
      <c r="H239" s="9"/>
    </row>
    <row r="240" spans="1:8">
      <c r="A240" t="s">
        <v>259</v>
      </c>
      <c r="B240">
        <v>2025</v>
      </c>
      <c r="C240" s="9">
        <v>45895</v>
      </c>
      <c r="D240" t="s">
        <v>7</v>
      </c>
      <c r="E240" t="s">
        <v>234</v>
      </c>
      <c r="F240">
        <v>880</v>
      </c>
      <c r="H240" s="9"/>
    </row>
    <row r="241" spans="1:8">
      <c r="A241" t="s">
        <v>260</v>
      </c>
      <c r="B241">
        <v>2025</v>
      </c>
      <c r="C241" s="9">
        <v>45896</v>
      </c>
      <c r="D241" t="s">
        <v>10</v>
      </c>
      <c r="E241" t="s">
        <v>234</v>
      </c>
      <c r="F241">
        <v>616</v>
      </c>
      <c r="H241" s="9"/>
    </row>
    <row r="242" spans="1:8">
      <c r="A242" t="s">
        <v>261</v>
      </c>
      <c r="B242">
        <v>2025</v>
      </c>
      <c r="C242" s="9">
        <v>45897</v>
      </c>
      <c r="D242" t="s">
        <v>13</v>
      </c>
      <c r="E242" t="s">
        <v>234</v>
      </c>
      <c r="F242">
        <v>660</v>
      </c>
      <c r="H242" s="9"/>
    </row>
    <row r="243" spans="1:8">
      <c r="A243" t="s">
        <v>262</v>
      </c>
      <c r="B243">
        <v>2025</v>
      </c>
      <c r="C243" s="9">
        <v>45898</v>
      </c>
      <c r="D243" t="s">
        <v>18</v>
      </c>
      <c r="E243" t="s">
        <v>234</v>
      </c>
      <c r="F243">
        <v>760</v>
      </c>
      <c r="H243" s="9"/>
    </row>
    <row r="244" spans="1:8">
      <c r="A244" t="s">
        <v>263</v>
      </c>
      <c r="B244">
        <v>2025</v>
      </c>
      <c r="C244" s="9">
        <v>45899</v>
      </c>
      <c r="D244" t="s">
        <v>20</v>
      </c>
      <c r="E244" t="s">
        <v>234</v>
      </c>
      <c r="F244">
        <v>134</v>
      </c>
      <c r="H244" s="9"/>
    </row>
    <row r="245" spans="1:8">
      <c r="A245" t="s">
        <v>264</v>
      </c>
      <c r="B245">
        <v>2025</v>
      </c>
      <c r="C245" s="9">
        <v>45901</v>
      </c>
      <c r="D245" t="s">
        <v>24</v>
      </c>
      <c r="E245" t="s">
        <v>265</v>
      </c>
      <c r="F245">
        <v>0</v>
      </c>
      <c r="H245" s="9"/>
    </row>
    <row r="246" spans="1:8">
      <c r="A246" t="s">
        <v>266</v>
      </c>
      <c r="B246">
        <v>2025</v>
      </c>
      <c r="C246" s="9">
        <v>45902</v>
      </c>
      <c r="D246" t="s">
        <v>7</v>
      </c>
      <c r="E246" t="s">
        <v>265</v>
      </c>
      <c r="F246">
        <v>456</v>
      </c>
      <c r="H246" s="9"/>
    </row>
    <row r="247" spans="1:8">
      <c r="A247" t="s">
        <v>267</v>
      </c>
      <c r="B247">
        <v>2025</v>
      </c>
      <c r="C247" s="9">
        <v>45903</v>
      </c>
      <c r="D247" t="s">
        <v>10</v>
      </c>
      <c r="E247" t="s">
        <v>265</v>
      </c>
      <c r="F247">
        <v>981</v>
      </c>
      <c r="H247" s="9"/>
    </row>
    <row r="248" spans="1:8">
      <c r="A248" t="s">
        <v>268</v>
      </c>
      <c r="B248">
        <v>2025</v>
      </c>
      <c r="C248" s="9">
        <v>45904</v>
      </c>
      <c r="D248" t="s">
        <v>13</v>
      </c>
      <c r="E248" t="s">
        <v>265</v>
      </c>
      <c r="F248">
        <v>767</v>
      </c>
      <c r="H248" s="9"/>
    </row>
    <row r="249" spans="1:8">
      <c r="A249" t="s">
        <v>269</v>
      </c>
      <c r="B249">
        <v>2025</v>
      </c>
      <c r="C249" s="9">
        <v>45905</v>
      </c>
      <c r="D249" t="s">
        <v>18</v>
      </c>
      <c r="E249" t="s">
        <v>265</v>
      </c>
      <c r="F249">
        <v>1273</v>
      </c>
      <c r="H249" s="9"/>
    </row>
    <row r="250" spans="1:8">
      <c r="A250" t="s">
        <v>270</v>
      </c>
      <c r="B250">
        <v>2025</v>
      </c>
      <c r="C250" s="9">
        <v>45906</v>
      </c>
      <c r="D250" t="s">
        <v>20</v>
      </c>
      <c r="E250" t="s">
        <v>265</v>
      </c>
      <c r="F250">
        <v>133</v>
      </c>
      <c r="H250" s="9"/>
    </row>
    <row r="251" spans="1:8">
      <c r="A251" t="s">
        <v>271</v>
      </c>
      <c r="B251">
        <v>2025</v>
      </c>
      <c r="C251" s="9">
        <v>45907</v>
      </c>
      <c r="D251" t="s">
        <v>22</v>
      </c>
      <c r="E251" t="s">
        <v>265</v>
      </c>
      <c r="F251">
        <v>0</v>
      </c>
      <c r="H251" s="9"/>
    </row>
    <row r="252" spans="1:8">
      <c r="A252" t="s">
        <v>272</v>
      </c>
      <c r="B252">
        <v>2025</v>
      </c>
      <c r="C252" s="9">
        <v>45908</v>
      </c>
      <c r="D252" t="s">
        <v>24</v>
      </c>
      <c r="E252" t="s">
        <v>265</v>
      </c>
      <c r="F252">
        <v>0</v>
      </c>
      <c r="H252" s="9"/>
    </row>
    <row r="253" spans="1:8">
      <c r="A253" t="s">
        <v>273</v>
      </c>
      <c r="B253">
        <v>2025</v>
      </c>
      <c r="C253" s="9">
        <v>45909</v>
      </c>
      <c r="D253" t="s">
        <v>7</v>
      </c>
      <c r="E253" t="s">
        <v>265</v>
      </c>
      <c r="F253">
        <v>737</v>
      </c>
      <c r="H253" s="9"/>
    </row>
    <row r="254" spans="1:8">
      <c r="A254" t="s">
        <v>274</v>
      </c>
      <c r="B254">
        <v>2025</v>
      </c>
      <c r="C254" s="9">
        <v>45910</v>
      </c>
      <c r="D254" t="s">
        <v>10</v>
      </c>
      <c r="E254" t="s">
        <v>265</v>
      </c>
      <c r="F254">
        <v>1038.4000000000001</v>
      </c>
      <c r="H254" s="9"/>
    </row>
    <row r="255" spans="1:8">
      <c r="A255" t="s">
        <v>275</v>
      </c>
      <c r="B255">
        <v>2025</v>
      </c>
      <c r="C255" s="9">
        <v>45911</v>
      </c>
      <c r="D255" t="s">
        <v>13</v>
      </c>
      <c r="E255" t="s">
        <v>265</v>
      </c>
      <c r="F255">
        <v>910.8</v>
      </c>
      <c r="H255" s="9"/>
    </row>
    <row r="256" spans="1:8">
      <c r="A256" t="s">
        <v>276</v>
      </c>
      <c r="B256">
        <v>2025</v>
      </c>
      <c r="C256" s="9">
        <v>45912</v>
      </c>
      <c r="D256" t="s">
        <v>18</v>
      </c>
      <c r="E256" t="s">
        <v>265</v>
      </c>
      <c r="F256">
        <v>931</v>
      </c>
      <c r="H256" s="9"/>
    </row>
    <row r="257" spans="1:8">
      <c r="A257" t="s">
        <v>277</v>
      </c>
      <c r="B257">
        <v>2025</v>
      </c>
      <c r="C257" s="9">
        <v>45913</v>
      </c>
      <c r="D257" t="s">
        <v>20</v>
      </c>
      <c r="E257" t="s">
        <v>265</v>
      </c>
      <c r="F257">
        <v>347</v>
      </c>
      <c r="H257" s="9"/>
    </row>
    <row r="258" spans="1:8">
      <c r="A258" t="s">
        <v>278</v>
      </c>
      <c r="B258">
        <v>2025</v>
      </c>
      <c r="C258" s="9">
        <v>45914</v>
      </c>
      <c r="D258" t="s">
        <v>22</v>
      </c>
      <c r="E258" t="s">
        <v>265</v>
      </c>
      <c r="F258">
        <v>0</v>
      </c>
      <c r="H258" s="9"/>
    </row>
    <row r="259" spans="1:8">
      <c r="A259" t="s">
        <v>279</v>
      </c>
      <c r="B259">
        <v>2025</v>
      </c>
      <c r="C259" s="9">
        <v>45915</v>
      </c>
      <c r="D259" t="s">
        <v>24</v>
      </c>
      <c r="E259" t="s">
        <v>265</v>
      </c>
      <c r="F259">
        <v>0</v>
      </c>
      <c r="H259" s="9"/>
    </row>
    <row r="260" spans="1:8">
      <c r="A260" t="s">
        <v>280</v>
      </c>
      <c r="B260">
        <v>2025</v>
      </c>
      <c r="C260" s="9">
        <v>45916</v>
      </c>
      <c r="D260" t="s">
        <v>7</v>
      </c>
      <c r="E260" t="s">
        <v>265</v>
      </c>
      <c r="F260">
        <v>155</v>
      </c>
      <c r="H260" s="9"/>
    </row>
    <row r="261" spans="1:8">
      <c r="A261" t="s">
        <v>281</v>
      </c>
      <c r="B261">
        <v>2025</v>
      </c>
      <c r="C261" s="9">
        <v>45917</v>
      </c>
      <c r="D261" t="s">
        <v>10</v>
      </c>
      <c r="E261" t="s">
        <v>265</v>
      </c>
      <c r="F261">
        <v>532</v>
      </c>
      <c r="H261" s="9"/>
    </row>
    <row r="262" spans="1:8">
      <c r="A262" t="s">
        <v>282</v>
      </c>
      <c r="B262">
        <v>2025</v>
      </c>
      <c r="C262" s="9">
        <v>45918</v>
      </c>
      <c r="D262" t="s">
        <v>13</v>
      </c>
      <c r="E262" t="s">
        <v>265</v>
      </c>
      <c r="F262">
        <v>507</v>
      </c>
      <c r="H262" s="9"/>
    </row>
    <row r="263" spans="1:8">
      <c r="A263" t="s">
        <v>283</v>
      </c>
      <c r="B263">
        <v>2025</v>
      </c>
      <c r="C263" s="9">
        <v>45919</v>
      </c>
      <c r="D263" t="s">
        <v>18</v>
      </c>
      <c r="E263" t="s">
        <v>265</v>
      </c>
      <c r="F263">
        <v>456</v>
      </c>
      <c r="H263" s="9"/>
    </row>
    <row r="264" spans="1:8">
      <c r="A264" t="s">
        <v>284</v>
      </c>
      <c r="B264">
        <v>2025</v>
      </c>
      <c r="C264" s="9">
        <v>45920</v>
      </c>
      <c r="D264" t="s">
        <v>20</v>
      </c>
      <c r="E264" t="s">
        <v>265</v>
      </c>
      <c r="F264">
        <v>392</v>
      </c>
      <c r="H264" s="9"/>
    </row>
    <row r="265" spans="1:8">
      <c r="A265" t="s">
        <v>285</v>
      </c>
      <c r="B265">
        <v>2025</v>
      </c>
      <c r="C265" s="9">
        <v>45921</v>
      </c>
      <c r="D265" t="s">
        <v>22</v>
      </c>
      <c r="E265" t="s">
        <v>265</v>
      </c>
      <c r="F265">
        <v>0</v>
      </c>
      <c r="H265" s="9"/>
    </row>
    <row r="266" spans="1:8">
      <c r="A266" t="s">
        <v>286</v>
      </c>
      <c r="B266">
        <v>2025</v>
      </c>
      <c r="C266" s="9">
        <v>45922</v>
      </c>
      <c r="D266" t="s">
        <v>24</v>
      </c>
      <c r="E266" t="s">
        <v>265</v>
      </c>
      <c r="F266">
        <v>0</v>
      </c>
      <c r="H266" s="9"/>
    </row>
    <row r="267" spans="1:8">
      <c r="A267" t="s">
        <v>287</v>
      </c>
      <c r="B267">
        <v>2025</v>
      </c>
      <c r="C267" s="9">
        <v>45923</v>
      </c>
      <c r="D267" t="s">
        <v>7</v>
      </c>
      <c r="E267" t="s">
        <v>265</v>
      </c>
      <c r="F267">
        <v>426</v>
      </c>
      <c r="H267" s="9"/>
    </row>
    <row r="268" spans="1:8">
      <c r="A268" t="s">
        <v>288</v>
      </c>
      <c r="B268">
        <v>2025</v>
      </c>
      <c r="C268" s="9">
        <v>45924</v>
      </c>
      <c r="D268" t="s">
        <v>10</v>
      </c>
      <c r="E268" t="s">
        <v>265</v>
      </c>
      <c r="F268">
        <v>365</v>
      </c>
      <c r="H268" s="9"/>
    </row>
    <row r="269" spans="1:8">
      <c r="A269" t="s">
        <v>289</v>
      </c>
      <c r="B269">
        <v>2025</v>
      </c>
      <c r="C269" s="9">
        <v>45925</v>
      </c>
      <c r="D269" t="s">
        <v>13</v>
      </c>
      <c r="E269" t="s">
        <v>265</v>
      </c>
      <c r="F269">
        <v>290</v>
      </c>
      <c r="H269" s="9"/>
    </row>
    <row r="270" spans="1:8">
      <c r="A270" t="s">
        <v>290</v>
      </c>
      <c r="B270">
        <v>2025</v>
      </c>
      <c r="C270" s="9">
        <v>45926</v>
      </c>
      <c r="D270" t="s">
        <v>18</v>
      </c>
      <c r="E270" t="s">
        <v>265</v>
      </c>
      <c r="F270">
        <v>226</v>
      </c>
      <c r="H270" s="9"/>
    </row>
    <row r="271" spans="1:8">
      <c r="A271" t="s">
        <v>291</v>
      </c>
      <c r="B271">
        <v>2025</v>
      </c>
      <c r="C271" s="9">
        <v>45927</v>
      </c>
      <c r="D271" t="s">
        <v>20</v>
      </c>
      <c r="E271" t="s">
        <v>265</v>
      </c>
      <c r="F271">
        <v>178</v>
      </c>
      <c r="H271" s="9"/>
    </row>
    <row r="272" spans="1:8">
      <c r="A272" t="s">
        <v>292</v>
      </c>
      <c r="B272">
        <v>2025</v>
      </c>
      <c r="C272" s="9">
        <v>45928</v>
      </c>
      <c r="D272" t="s">
        <v>22</v>
      </c>
      <c r="E272" t="s">
        <v>265</v>
      </c>
      <c r="F272">
        <v>0</v>
      </c>
      <c r="H272" s="9"/>
    </row>
    <row r="273" spans="1:8">
      <c r="A273" t="s">
        <v>293</v>
      </c>
      <c r="B273">
        <v>2025</v>
      </c>
      <c r="C273" s="9">
        <v>45929</v>
      </c>
      <c r="D273" t="s">
        <v>24</v>
      </c>
      <c r="E273" t="s">
        <v>265</v>
      </c>
      <c r="F273">
        <v>0</v>
      </c>
      <c r="H273" s="9"/>
    </row>
    <row r="274" spans="1:8">
      <c r="A274" t="s">
        <v>294</v>
      </c>
      <c r="B274">
        <v>2025</v>
      </c>
      <c r="C274" s="9">
        <v>45930</v>
      </c>
      <c r="D274" t="s">
        <v>7</v>
      </c>
      <c r="E274" t="s">
        <v>265</v>
      </c>
      <c r="F274">
        <v>452</v>
      </c>
      <c r="H274" s="9"/>
    </row>
    <row r="275" spans="1:8">
      <c r="A275" t="s">
        <v>295</v>
      </c>
      <c r="B275">
        <v>2025</v>
      </c>
      <c r="C275" s="9">
        <v>45931</v>
      </c>
      <c r="D275" t="s">
        <v>10</v>
      </c>
      <c r="E275" t="s">
        <v>296</v>
      </c>
      <c r="F275">
        <v>417</v>
      </c>
      <c r="H275" s="9"/>
    </row>
    <row r="276" spans="1:8">
      <c r="A276" t="s">
        <v>297</v>
      </c>
      <c r="B276">
        <v>2025</v>
      </c>
      <c r="C276" s="9">
        <v>45932</v>
      </c>
      <c r="D276" t="s">
        <v>13</v>
      </c>
      <c r="E276" t="s">
        <v>296</v>
      </c>
      <c r="F276">
        <v>576</v>
      </c>
      <c r="H276" s="9"/>
    </row>
    <row r="277" spans="1:8">
      <c r="A277" t="s">
        <v>298</v>
      </c>
      <c r="B277">
        <v>2025</v>
      </c>
      <c r="C277" s="9">
        <v>45933</v>
      </c>
      <c r="D277" t="s">
        <v>18</v>
      </c>
      <c r="E277" t="s">
        <v>296</v>
      </c>
      <c r="F277">
        <v>1034</v>
      </c>
      <c r="H277" s="9"/>
    </row>
    <row r="278" spans="1:8">
      <c r="A278" t="s">
        <v>299</v>
      </c>
      <c r="B278">
        <v>2025</v>
      </c>
      <c r="C278" s="9">
        <v>45934</v>
      </c>
      <c r="D278" t="s">
        <v>20</v>
      </c>
      <c r="E278" t="s">
        <v>296</v>
      </c>
      <c r="F278">
        <v>271</v>
      </c>
      <c r="H278" s="9"/>
    </row>
    <row r="279" spans="1:8">
      <c r="A279" t="s">
        <v>300</v>
      </c>
      <c r="B279">
        <v>2025</v>
      </c>
      <c r="C279" s="9">
        <v>45935</v>
      </c>
      <c r="D279" t="s">
        <v>22</v>
      </c>
      <c r="E279" t="s">
        <v>296</v>
      </c>
      <c r="F279">
        <v>0</v>
      </c>
      <c r="H279" s="9"/>
    </row>
    <row r="280" spans="1:8">
      <c r="A280" t="s">
        <v>301</v>
      </c>
      <c r="B280">
        <v>2025</v>
      </c>
      <c r="C280" s="9">
        <v>45936</v>
      </c>
      <c r="D280" t="s">
        <v>24</v>
      </c>
      <c r="E280" t="s">
        <v>296</v>
      </c>
      <c r="F280">
        <v>0</v>
      </c>
      <c r="H280" s="9"/>
    </row>
    <row r="281" spans="1:8">
      <c r="A281" t="s">
        <v>302</v>
      </c>
      <c r="B281">
        <v>2025</v>
      </c>
      <c r="C281" s="9">
        <v>45937</v>
      </c>
      <c r="D281" t="s">
        <v>7</v>
      </c>
      <c r="E281" t="s">
        <v>296</v>
      </c>
      <c r="F281">
        <v>847</v>
      </c>
      <c r="H281" s="9"/>
    </row>
    <row r="282" spans="1:8">
      <c r="A282" t="s">
        <v>303</v>
      </c>
      <c r="B282">
        <v>2025</v>
      </c>
      <c r="C282" s="9">
        <v>45938</v>
      </c>
      <c r="D282" t="s">
        <v>10</v>
      </c>
      <c r="E282" t="s">
        <v>296</v>
      </c>
      <c r="F282">
        <v>976</v>
      </c>
      <c r="H282" s="9"/>
    </row>
    <row r="283" spans="1:8">
      <c r="A283" t="s">
        <v>304</v>
      </c>
      <c r="B283">
        <v>2025</v>
      </c>
      <c r="C283" s="9">
        <v>45939</v>
      </c>
      <c r="D283" t="s">
        <v>13</v>
      </c>
      <c r="E283" t="s">
        <v>296</v>
      </c>
      <c r="F283">
        <v>804</v>
      </c>
      <c r="H283" s="9"/>
    </row>
    <row r="284" spans="1:8">
      <c r="A284" t="s">
        <v>305</v>
      </c>
      <c r="B284">
        <v>2025</v>
      </c>
      <c r="C284" s="9">
        <v>45940</v>
      </c>
      <c r="D284" t="s">
        <v>18</v>
      </c>
      <c r="E284" t="s">
        <v>296</v>
      </c>
      <c r="F284">
        <v>721</v>
      </c>
      <c r="H284" s="9"/>
    </row>
    <row r="285" spans="1:8">
      <c r="A285" t="s">
        <v>306</v>
      </c>
      <c r="B285">
        <v>2025</v>
      </c>
      <c r="C285" s="9">
        <v>45941</v>
      </c>
      <c r="D285" t="s">
        <v>20</v>
      </c>
      <c r="E285" t="s">
        <v>296</v>
      </c>
      <c r="F285">
        <v>414</v>
      </c>
      <c r="H285" s="9"/>
    </row>
    <row r="286" spans="1:8">
      <c r="A286" t="s">
        <v>307</v>
      </c>
      <c r="B286">
        <v>2025</v>
      </c>
      <c r="C286" s="9">
        <v>45942</v>
      </c>
      <c r="D286" t="s">
        <v>22</v>
      </c>
      <c r="E286" t="s">
        <v>296</v>
      </c>
      <c r="F286">
        <v>0</v>
      </c>
      <c r="H286" s="9"/>
    </row>
    <row r="287" spans="1:8">
      <c r="A287" t="s">
        <v>308</v>
      </c>
      <c r="B287">
        <v>2025</v>
      </c>
      <c r="C287" s="9">
        <v>45943</v>
      </c>
      <c r="D287" t="s">
        <v>24</v>
      </c>
      <c r="E287" t="s">
        <v>296</v>
      </c>
      <c r="F287">
        <v>0</v>
      </c>
      <c r="H287" s="9"/>
    </row>
    <row r="288" spans="1:8">
      <c r="A288" t="s">
        <v>309</v>
      </c>
      <c r="B288">
        <v>2025</v>
      </c>
      <c r="C288" s="9">
        <v>45944</v>
      </c>
      <c r="D288" t="s">
        <v>7</v>
      </c>
      <c r="E288" t="s">
        <v>296</v>
      </c>
      <c r="F288">
        <v>308</v>
      </c>
      <c r="H288" s="9"/>
    </row>
    <row r="289" spans="1:8">
      <c r="A289" t="s">
        <v>310</v>
      </c>
      <c r="B289">
        <v>2025</v>
      </c>
      <c r="C289" s="9">
        <v>45945</v>
      </c>
      <c r="D289" t="s">
        <v>10</v>
      </c>
      <c r="E289" t="s">
        <v>296</v>
      </c>
      <c r="F289">
        <v>541</v>
      </c>
      <c r="H289" s="9"/>
    </row>
    <row r="290" spans="1:8">
      <c r="A290" t="s">
        <v>311</v>
      </c>
      <c r="B290">
        <v>2025</v>
      </c>
      <c r="C290" s="9">
        <v>45946</v>
      </c>
      <c r="D290" t="s">
        <v>13</v>
      </c>
      <c r="E290" t="s">
        <v>296</v>
      </c>
      <c r="F290">
        <v>784</v>
      </c>
      <c r="H290" s="9"/>
    </row>
    <row r="291" spans="1:8">
      <c r="A291" t="s">
        <v>312</v>
      </c>
      <c r="B291">
        <v>2025</v>
      </c>
      <c r="C291" s="9">
        <v>45947</v>
      </c>
      <c r="D291" t="s">
        <v>18</v>
      </c>
      <c r="E291" t="s">
        <v>296</v>
      </c>
      <c r="F291">
        <v>806</v>
      </c>
      <c r="H291" s="9"/>
    </row>
    <row r="292" spans="1:8">
      <c r="A292" t="s">
        <v>313</v>
      </c>
      <c r="B292">
        <v>2025</v>
      </c>
      <c r="C292" s="9">
        <v>45948</v>
      </c>
      <c r="D292" t="s">
        <v>20</v>
      </c>
      <c r="E292" t="s">
        <v>296</v>
      </c>
      <c r="F292">
        <v>167</v>
      </c>
      <c r="H292" s="9"/>
    </row>
    <row r="293" spans="1:8">
      <c r="A293" t="s">
        <v>314</v>
      </c>
      <c r="B293">
        <v>2025</v>
      </c>
      <c r="C293" s="9">
        <v>45949</v>
      </c>
      <c r="D293" t="s">
        <v>22</v>
      </c>
      <c r="E293" t="s">
        <v>296</v>
      </c>
      <c r="F293">
        <v>0</v>
      </c>
      <c r="H293" s="9"/>
    </row>
    <row r="294" spans="1:8">
      <c r="A294" t="s">
        <v>315</v>
      </c>
      <c r="B294">
        <v>2025</v>
      </c>
      <c r="C294" s="9">
        <v>45950</v>
      </c>
      <c r="D294" t="s">
        <v>24</v>
      </c>
      <c r="E294" t="s">
        <v>296</v>
      </c>
      <c r="F294">
        <v>0</v>
      </c>
      <c r="H294" s="9"/>
    </row>
    <row r="295" spans="1:8">
      <c r="A295" t="s">
        <v>316</v>
      </c>
      <c r="B295">
        <v>2025</v>
      </c>
      <c r="C295" s="9">
        <v>45951</v>
      </c>
      <c r="D295" t="s">
        <v>7</v>
      </c>
      <c r="E295" t="s">
        <v>296</v>
      </c>
      <c r="F295">
        <v>788</v>
      </c>
      <c r="H295" s="9"/>
    </row>
    <row r="296" spans="1:8">
      <c r="A296" t="s">
        <v>317</v>
      </c>
      <c r="B296">
        <v>2025</v>
      </c>
      <c r="C296" s="9">
        <v>45952</v>
      </c>
      <c r="D296" t="s">
        <v>10</v>
      </c>
      <c r="E296" t="s">
        <v>296</v>
      </c>
      <c r="F296">
        <v>641.4</v>
      </c>
      <c r="H296" s="9"/>
    </row>
    <row r="297" spans="1:8">
      <c r="A297" t="s">
        <v>318</v>
      </c>
      <c r="B297">
        <v>2025</v>
      </c>
      <c r="C297" s="9">
        <v>45953</v>
      </c>
      <c r="D297" t="s">
        <v>13</v>
      </c>
      <c r="E297" t="s">
        <v>296</v>
      </c>
      <c r="F297">
        <v>807</v>
      </c>
      <c r="H297" s="9"/>
    </row>
    <row r="298" spans="1:8">
      <c r="A298" t="s">
        <v>319</v>
      </c>
      <c r="B298">
        <v>2025</v>
      </c>
      <c r="C298" s="9">
        <v>45954</v>
      </c>
      <c r="D298" t="s">
        <v>18</v>
      </c>
      <c r="E298" t="s">
        <v>296</v>
      </c>
      <c r="F298">
        <v>832</v>
      </c>
      <c r="H298" s="9"/>
    </row>
    <row r="299" spans="1:8">
      <c r="A299" t="s">
        <v>320</v>
      </c>
      <c r="B299">
        <v>2025</v>
      </c>
      <c r="C299" s="9">
        <v>45955</v>
      </c>
      <c r="D299" t="s">
        <v>20</v>
      </c>
      <c r="E299" t="s">
        <v>296</v>
      </c>
      <c r="F299">
        <v>163</v>
      </c>
      <c r="H299" s="9"/>
    </row>
    <row r="300" spans="1:8">
      <c r="A300" t="s">
        <v>321</v>
      </c>
      <c r="B300">
        <v>2025</v>
      </c>
      <c r="C300" s="9">
        <v>45956</v>
      </c>
      <c r="D300" t="s">
        <v>22</v>
      </c>
      <c r="E300" t="s">
        <v>296</v>
      </c>
      <c r="F300">
        <v>0</v>
      </c>
      <c r="H300" s="9"/>
    </row>
    <row r="301" spans="1:8">
      <c r="A301" t="s">
        <v>322</v>
      </c>
      <c r="B301">
        <v>2025</v>
      </c>
      <c r="C301" s="9">
        <v>45957</v>
      </c>
      <c r="D301" t="s">
        <v>24</v>
      </c>
      <c r="E301" t="s">
        <v>296</v>
      </c>
      <c r="F301">
        <v>0</v>
      </c>
      <c r="H301" s="9"/>
    </row>
    <row r="302" spans="1:8">
      <c r="A302" t="s">
        <v>323</v>
      </c>
      <c r="B302">
        <v>2025</v>
      </c>
      <c r="C302" s="9">
        <v>45958</v>
      </c>
      <c r="D302" t="s">
        <v>7</v>
      </c>
      <c r="E302" t="s">
        <v>296</v>
      </c>
      <c r="F302">
        <v>809</v>
      </c>
      <c r="H302" s="9"/>
    </row>
    <row r="303" spans="1:8">
      <c r="A303" t="s">
        <v>324</v>
      </c>
      <c r="B303">
        <v>2025</v>
      </c>
      <c r="C303" s="9">
        <v>45959</v>
      </c>
      <c r="D303" t="s">
        <v>10</v>
      </c>
      <c r="E303" t="s">
        <v>296</v>
      </c>
      <c r="F303">
        <v>1058</v>
      </c>
      <c r="H303" s="9"/>
    </row>
    <row r="304" spans="1:8">
      <c r="A304" t="s">
        <v>325</v>
      </c>
      <c r="B304">
        <v>2025</v>
      </c>
      <c r="C304" s="9">
        <v>45960</v>
      </c>
      <c r="D304" t="s">
        <v>13</v>
      </c>
      <c r="E304" t="s">
        <v>296</v>
      </c>
      <c r="F304">
        <v>745</v>
      </c>
      <c r="H304" s="9"/>
    </row>
    <row r="305" spans="1:8">
      <c r="A305" t="s">
        <v>326</v>
      </c>
      <c r="B305">
        <v>2025</v>
      </c>
      <c r="C305" s="9">
        <v>45961</v>
      </c>
      <c r="D305" t="s">
        <v>18</v>
      </c>
      <c r="E305" t="s">
        <v>296</v>
      </c>
      <c r="F305">
        <v>574</v>
      </c>
      <c r="H305" s="9"/>
    </row>
    <row r="306" spans="1:8">
      <c r="A306" t="s">
        <v>327</v>
      </c>
      <c r="B306">
        <v>2025</v>
      </c>
      <c r="C306" s="9">
        <v>45962</v>
      </c>
      <c r="D306" t="s">
        <v>20</v>
      </c>
      <c r="E306" t="s">
        <v>328</v>
      </c>
      <c r="F306">
        <v>0</v>
      </c>
      <c r="H306" s="9"/>
    </row>
    <row r="307" spans="1:8">
      <c r="A307" t="s">
        <v>329</v>
      </c>
      <c r="B307">
        <v>2025</v>
      </c>
      <c r="C307" s="9">
        <v>45963</v>
      </c>
      <c r="D307" t="s">
        <v>22</v>
      </c>
      <c r="E307" t="s">
        <v>328</v>
      </c>
      <c r="F307">
        <v>0</v>
      </c>
      <c r="H307" s="9"/>
    </row>
    <row r="308" spans="1:8">
      <c r="A308" t="s">
        <v>330</v>
      </c>
      <c r="B308">
        <v>2025</v>
      </c>
      <c r="C308" s="9">
        <v>45964</v>
      </c>
      <c r="D308" t="s">
        <v>24</v>
      </c>
      <c r="E308" t="s">
        <v>328</v>
      </c>
      <c r="F308">
        <v>0</v>
      </c>
      <c r="H308" s="9"/>
    </row>
    <row r="309" spans="1:8">
      <c r="A309" t="s">
        <v>331</v>
      </c>
      <c r="B309">
        <v>2025</v>
      </c>
      <c r="C309" s="9">
        <v>45965</v>
      </c>
      <c r="D309" t="s">
        <v>7</v>
      </c>
      <c r="E309" t="s">
        <v>328</v>
      </c>
      <c r="F309">
        <v>699</v>
      </c>
      <c r="H309" s="9"/>
    </row>
    <row r="310" spans="1:8">
      <c r="A310" t="s">
        <v>332</v>
      </c>
      <c r="B310">
        <v>2025</v>
      </c>
      <c r="C310" s="9">
        <v>45966</v>
      </c>
      <c r="D310" t="s">
        <v>10</v>
      </c>
      <c r="E310" t="s">
        <v>328</v>
      </c>
      <c r="F310">
        <v>943.4</v>
      </c>
      <c r="H310" s="9"/>
    </row>
    <row r="311" spans="1:8">
      <c r="A311" t="s">
        <v>333</v>
      </c>
      <c r="B311">
        <v>2025</v>
      </c>
      <c r="C311" s="9">
        <v>45967</v>
      </c>
      <c r="D311" t="s">
        <v>13</v>
      </c>
      <c r="E311" t="s">
        <v>328</v>
      </c>
      <c r="F311">
        <v>521</v>
      </c>
      <c r="H311" s="9"/>
    </row>
    <row r="312" spans="1:8">
      <c r="A312" t="s">
        <v>334</v>
      </c>
      <c r="B312">
        <v>2025</v>
      </c>
      <c r="C312" s="9">
        <v>45968</v>
      </c>
      <c r="D312" t="s">
        <v>18</v>
      </c>
      <c r="E312" t="s">
        <v>328</v>
      </c>
      <c r="F312">
        <v>981</v>
      </c>
      <c r="H312" s="9"/>
    </row>
    <row r="313" spans="1:8">
      <c r="A313" t="s">
        <v>335</v>
      </c>
      <c r="B313">
        <v>2025</v>
      </c>
      <c r="C313" s="9">
        <v>45969</v>
      </c>
      <c r="D313" t="s">
        <v>20</v>
      </c>
      <c r="E313" t="s">
        <v>328</v>
      </c>
      <c r="F313">
        <v>282</v>
      </c>
      <c r="H313" s="9"/>
    </row>
    <row r="314" spans="1:8">
      <c r="A314" t="s">
        <v>336</v>
      </c>
      <c r="B314">
        <v>2025</v>
      </c>
      <c r="C314" s="9">
        <v>45970</v>
      </c>
      <c r="D314" t="s">
        <v>22</v>
      </c>
      <c r="E314" t="s">
        <v>328</v>
      </c>
      <c r="F314">
        <v>0</v>
      </c>
      <c r="H314" s="9"/>
    </row>
    <row r="315" spans="1:8">
      <c r="A315" t="s">
        <v>337</v>
      </c>
      <c r="B315">
        <v>2025</v>
      </c>
      <c r="C315" s="9">
        <v>45971</v>
      </c>
      <c r="D315" t="s">
        <v>24</v>
      </c>
      <c r="E315" t="s">
        <v>328</v>
      </c>
      <c r="F315">
        <v>0</v>
      </c>
      <c r="H315" s="9"/>
    </row>
    <row r="316" spans="1:8">
      <c r="A316" t="s">
        <v>338</v>
      </c>
      <c r="B316">
        <v>2025</v>
      </c>
      <c r="C316" s="9">
        <v>45972</v>
      </c>
      <c r="D316" t="s">
        <v>7</v>
      </c>
      <c r="E316" t="s">
        <v>328</v>
      </c>
      <c r="F316">
        <v>0</v>
      </c>
      <c r="H316" s="9"/>
    </row>
    <row r="317" spans="1:8">
      <c r="A317" t="s">
        <v>339</v>
      </c>
      <c r="B317">
        <v>2025</v>
      </c>
      <c r="C317" s="9">
        <v>45973</v>
      </c>
      <c r="D317" t="s">
        <v>10</v>
      </c>
      <c r="E317" t="s">
        <v>328</v>
      </c>
      <c r="F317">
        <v>511</v>
      </c>
      <c r="H317" s="9"/>
    </row>
    <row r="318" spans="1:8">
      <c r="A318" t="s">
        <v>340</v>
      </c>
      <c r="B318">
        <v>2025</v>
      </c>
      <c r="C318" s="9">
        <v>45974</v>
      </c>
      <c r="D318" t="s">
        <v>13</v>
      </c>
      <c r="E318" t="s">
        <v>328</v>
      </c>
      <c r="F318">
        <v>326</v>
      </c>
      <c r="H318" s="9"/>
    </row>
    <row r="319" spans="1:8">
      <c r="A319" t="s">
        <v>341</v>
      </c>
      <c r="B319">
        <v>2025</v>
      </c>
      <c r="C319" s="9">
        <v>45975</v>
      </c>
      <c r="D319" t="s">
        <v>18</v>
      </c>
      <c r="E319" t="s">
        <v>328</v>
      </c>
      <c r="F319">
        <v>773</v>
      </c>
      <c r="H319" s="9"/>
    </row>
    <row r="320" spans="1:8">
      <c r="A320" t="s">
        <v>342</v>
      </c>
      <c r="B320">
        <v>2025</v>
      </c>
      <c r="C320" s="9">
        <v>45976</v>
      </c>
      <c r="D320" t="s">
        <v>20</v>
      </c>
      <c r="E320" t="s">
        <v>328</v>
      </c>
      <c r="F320">
        <v>81</v>
      </c>
      <c r="H320" s="9"/>
    </row>
    <row r="321" spans="1:8">
      <c r="A321" t="s">
        <v>343</v>
      </c>
      <c r="B321">
        <v>2025</v>
      </c>
      <c r="C321" s="9">
        <v>45977</v>
      </c>
      <c r="D321" t="s">
        <v>22</v>
      </c>
      <c r="E321" t="s">
        <v>328</v>
      </c>
      <c r="F321">
        <v>0</v>
      </c>
      <c r="H321" s="9"/>
    </row>
    <row r="322" spans="1:8">
      <c r="A322" t="s">
        <v>344</v>
      </c>
      <c r="B322">
        <v>2025</v>
      </c>
      <c r="C322" s="9">
        <v>45978</v>
      </c>
      <c r="D322" t="s">
        <v>24</v>
      </c>
      <c r="E322" t="s">
        <v>328</v>
      </c>
      <c r="F322">
        <v>0</v>
      </c>
      <c r="H322" s="9"/>
    </row>
    <row r="323" spans="1:8">
      <c r="A323" t="s">
        <v>345</v>
      </c>
      <c r="B323">
        <v>2025</v>
      </c>
      <c r="C323" s="9">
        <v>45979</v>
      </c>
      <c r="D323" t="s">
        <v>7</v>
      </c>
      <c r="E323" t="s">
        <v>328</v>
      </c>
      <c r="F323">
        <v>722</v>
      </c>
      <c r="H323" s="9"/>
    </row>
    <row r="324" spans="1:8">
      <c r="A324" t="s">
        <v>346</v>
      </c>
      <c r="B324">
        <v>2025</v>
      </c>
      <c r="C324" s="9">
        <v>45980</v>
      </c>
      <c r="D324" t="s">
        <v>10</v>
      </c>
      <c r="E324" t="s">
        <v>328</v>
      </c>
      <c r="F324">
        <v>690</v>
      </c>
      <c r="H324" s="9"/>
    </row>
    <row r="325" spans="1:8">
      <c r="A325" t="s">
        <v>347</v>
      </c>
      <c r="B325">
        <v>2025</v>
      </c>
      <c r="C325" s="9">
        <v>45981</v>
      </c>
      <c r="D325" t="s">
        <v>13</v>
      </c>
      <c r="E325" t="s">
        <v>328</v>
      </c>
      <c r="F325">
        <v>607</v>
      </c>
      <c r="H325" s="9"/>
    </row>
    <row r="326" spans="1:8">
      <c r="A326" t="s">
        <v>348</v>
      </c>
      <c r="B326">
        <v>2025</v>
      </c>
      <c r="C326" s="9">
        <v>45982</v>
      </c>
      <c r="D326" t="s">
        <v>18</v>
      </c>
      <c r="E326" t="s">
        <v>328</v>
      </c>
      <c r="F326">
        <v>685</v>
      </c>
      <c r="H326" s="9"/>
    </row>
    <row r="327" spans="1:8">
      <c r="A327" t="s">
        <v>349</v>
      </c>
      <c r="B327">
        <v>2025</v>
      </c>
      <c r="C327" s="9">
        <v>45983</v>
      </c>
      <c r="D327" t="s">
        <v>20</v>
      </c>
      <c r="E327" t="s">
        <v>328</v>
      </c>
      <c r="F327">
        <v>215</v>
      </c>
      <c r="H327" s="9"/>
    </row>
    <row r="328" spans="1:8">
      <c r="A328" t="s">
        <v>350</v>
      </c>
      <c r="B328">
        <v>2025</v>
      </c>
      <c r="C328" s="9">
        <v>45984</v>
      </c>
      <c r="D328" t="s">
        <v>22</v>
      </c>
      <c r="E328" t="s">
        <v>328</v>
      </c>
      <c r="F328">
        <v>0</v>
      </c>
      <c r="H328" s="9"/>
    </row>
    <row r="329" spans="1:8">
      <c r="A329" t="s">
        <v>351</v>
      </c>
      <c r="B329">
        <v>2025</v>
      </c>
      <c r="C329" s="9">
        <v>45985</v>
      </c>
      <c r="D329" t="s">
        <v>24</v>
      </c>
      <c r="E329" t="s">
        <v>328</v>
      </c>
      <c r="F329">
        <v>0</v>
      </c>
      <c r="H329" s="9"/>
    </row>
    <row r="330" spans="1:8">
      <c r="A330" t="s">
        <v>352</v>
      </c>
      <c r="B330">
        <v>2025</v>
      </c>
      <c r="C330" s="9">
        <v>45986</v>
      </c>
      <c r="D330" t="s">
        <v>7</v>
      </c>
      <c r="E330" t="s">
        <v>328</v>
      </c>
      <c r="F330">
        <v>911</v>
      </c>
      <c r="H330" s="9"/>
    </row>
    <row r="331" spans="1:8">
      <c r="A331" t="s">
        <v>353</v>
      </c>
      <c r="B331">
        <v>2025</v>
      </c>
      <c r="C331" s="9">
        <v>45987</v>
      </c>
      <c r="D331" t="s">
        <v>10</v>
      </c>
      <c r="E331" t="s">
        <v>328</v>
      </c>
      <c r="F331">
        <v>457</v>
      </c>
      <c r="H331" s="9"/>
    </row>
    <row r="332" spans="1:8">
      <c r="A332" t="s">
        <v>354</v>
      </c>
      <c r="B332">
        <v>2025</v>
      </c>
      <c r="C332" s="9">
        <v>45988</v>
      </c>
      <c r="D332" t="s">
        <v>13</v>
      </c>
      <c r="E332" t="s">
        <v>328</v>
      </c>
      <c r="F332">
        <v>751</v>
      </c>
      <c r="H332" s="9"/>
    </row>
    <row r="333" spans="1:8">
      <c r="A333" t="s">
        <v>355</v>
      </c>
      <c r="B333">
        <v>2025</v>
      </c>
      <c r="C333" s="9">
        <v>45989</v>
      </c>
      <c r="D333" t="s">
        <v>18</v>
      </c>
      <c r="E333" t="s">
        <v>328</v>
      </c>
      <c r="F333">
        <v>401</v>
      </c>
      <c r="H333" s="9"/>
    </row>
    <row r="334" spans="1:8">
      <c r="A334" t="s">
        <v>356</v>
      </c>
      <c r="B334">
        <v>2025</v>
      </c>
      <c r="C334" s="9">
        <v>45990</v>
      </c>
      <c r="D334" t="s">
        <v>20</v>
      </c>
      <c r="E334" t="s">
        <v>328</v>
      </c>
      <c r="F334">
        <v>100</v>
      </c>
      <c r="H334" s="9"/>
    </row>
    <row r="335" spans="1:8">
      <c r="A335" t="s">
        <v>357</v>
      </c>
      <c r="B335">
        <v>2025</v>
      </c>
      <c r="C335" s="9">
        <v>45993</v>
      </c>
      <c r="D335" t="s">
        <v>7</v>
      </c>
      <c r="E335" t="s">
        <v>358</v>
      </c>
      <c r="F335">
        <v>614</v>
      </c>
      <c r="H335" s="9"/>
    </row>
    <row r="336" spans="1:8">
      <c r="A336" t="s">
        <v>359</v>
      </c>
      <c r="B336">
        <v>2025</v>
      </c>
      <c r="C336" s="9">
        <v>45994</v>
      </c>
      <c r="D336" t="s">
        <v>10</v>
      </c>
      <c r="E336" t="s">
        <v>358</v>
      </c>
      <c r="F336">
        <v>712</v>
      </c>
      <c r="H336" s="9"/>
    </row>
    <row r="337" spans="1:8">
      <c r="A337" t="s">
        <v>360</v>
      </c>
      <c r="B337">
        <v>2025</v>
      </c>
      <c r="C337" s="9">
        <v>45995</v>
      </c>
      <c r="D337" t="s">
        <v>13</v>
      </c>
      <c r="E337" t="s">
        <v>358</v>
      </c>
      <c r="F337">
        <v>632</v>
      </c>
      <c r="H337" s="9"/>
    </row>
    <row r="338" spans="1:8">
      <c r="A338" t="s">
        <v>361</v>
      </c>
      <c r="B338">
        <v>2025</v>
      </c>
      <c r="C338" s="9">
        <v>45996</v>
      </c>
      <c r="D338" t="s">
        <v>18</v>
      </c>
      <c r="E338" t="s">
        <v>358</v>
      </c>
      <c r="F338">
        <v>714</v>
      </c>
      <c r="H338" s="9"/>
    </row>
    <row r="339" spans="1:8">
      <c r="A339" t="s">
        <v>362</v>
      </c>
      <c r="B339">
        <v>2025</v>
      </c>
      <c r="C339" s="9">
        <v>45997</v>
      </c>
      <c r="D339" t="s">
        <v>20</v>
      </c>
      <c r="E339" t="s">
        <v>358</v>
      </c>
      <c r="F339">
        <v>346</v>
      </c>
      <c r="H339" s="9"/>
    </row>
    <row r="340" spans="1:8">
      <c r="A340" t="s">
        <v>363</v>
      </c>
      <c r="B340">
        <v>2025</v>
      </c>
      <c r="C340" s="9">
        <v>45998</v>
      </c>
      <c r="D340" t="s">
        <v>22</v>
      </c>
      <c r="E340" t="s">
        <v>358</v>
      </c>
      <c r="F340">
        <v>0</v>
      </c>
      <c r="H340" s="9"/>
    </row>
    <row r="341" spans="1:8">
      <c r="A341" t="s">
        <v>364</v>
      </c>
      <c r="B341">
        <v>2025</v>
      </c>
      <c r="C341" s="9">
        <v>45999</v>
      </c>
      <c r="D341" t="s">
        <v>24</v>
      </c>
      <c r="E341" t="s">
        <v>358</v>
      </c>
      <c r="F341">
        <v>0</v>
      </c>
      <c r="H341" s="9"/>
    </row>
    <row r="342" spans="1:8">
      <c r="A342" t="s">
        <v>365</v>
      </c>
      <c r="B342">
        <v>2025</v>
      </c>
      <c r="C342" s="9">
        <v>46000</v>
      </c>
      <c r="D342" t="s">
        <v>7</v>
      </c>
      <c r="E342" t="s">
        <v>358</v>
      </c>
      <c r="F342">
        <v>579</v>
      </c>
      <c r="H342" s="9"/>
    </row>
    <row r="343" spans="1:8">
      <c r="A343" t="s">
        <v>366</v>
      </c>
      <c r="B343">
        <v>2025</v>
      </c>
      <c r="C343" s="9">
        <v>46001</v>
      </c>
      <c r="D343" t="s">
        <v>10</v>
      </c>
      <c r="E343" t="s">
        <v>358</v>
      </c>
      <c r="F343">
        <v>906</v>
      </c>
      <c r="H343" s="9"/>
    </row>
    <row r="344" spans="1:8">
      <c r="A344" t="s">
        <v>367</v>
      </c>
      <c r="B344">
        <v>2025</v>
      </c>
      <c r="C344" s="9">
        <v>46002</v>
      </c>
      <c r="D344" t="s">
        <v>13</v>
      </c>
      <c r="E344" t="s">
        <v>358</v>
      </c>
      <c r="F344">
        <v>833</v>
      </c>
      <c r="H344" s="9"/>
    </row>
    <row r="345" spans="1:8">
      <c r="A345" t="s">
        <v>368</v>
      </c>
      <c r="B345">
        <v>2025</v>
      </c>
      <c r="C345" s="9">
        <v>46003</v>
      </c>
      <c r="D345" t="s">
        <v>18</v>
      </c>
      <c r="E345" t="s">
        <v>358</v>
      </c>
      <c r="F345">
        <v>1406</v>
      </c>
      <c r="H345" s="9"/>
    </row>
    <row r="346" spans="1:8">
      <c r="A346" t="s">
        <v>369</v>
      </c>
      <c r="B346">
        <v>2025</v>
      </c>
      <c r="C346" s="9">
        <v>46004</v>
      </c>
      <c r="D346" t="s">
        <v>20</v>
      </c>
      <c r="E346" t="s">
        <v>358</v>
      </c>
      <c r="F346">
        <v>260</v>
      </c>
      <c r="H346" s="9"/>
    </row>
    <row r="347" spans="1:8">
      <c r="A347" t="s">
        <v>370</v>
      </c>
      <c r="B347">
        <v>2025</v>
      </c>
      <c r="C347" s="9">
        <v>46005</v>
      </c>
      <c r="D347" t="s">
        <v>22</v>
      </c>
      <c r="E347" t="s">
        <v>358</v>
      </c>
      <c r="F347">
        <v>0</v>
      </c>
      <c r="H347" s="9"/>
    </row>
    <row r="348" spans="1:8">
      <c r="A348" t="s">
        <v>371</v>
      </c>
      <c r="B348">
        <v>2025</v>
      </c>
      <c r="C348" s="9">
        <v>46006</v>
      </c>
      <c r="D348" t="s">
        <v>24</v>
      </c>
      <c r="E348" t="s">
        <v>358</v>
      </c>
      <c r="F348">
        <v>0</v>
      </c>
      <c r="H348" s="9"/>
    </row>
    <row r="349" spans="1:8">
      <c r="A349" t="s">
        <v>372</v>
      </c>
      <c r="B349">
        <v>2025</v>
      </c>
      <c r="C349" s="9">
        <v>46007</v>
      </c>
      <c r="D349" t="s">
        <v>7</v>
      </c>
      <c r="E349" t="s">
        <v>358</v>
      </c>
      <c r="F349">
        <v>785.5</v>
      </c>
      <c r="H349" s="9"/>
    </row>
    <row r="350" spans="1:8">
      <c r="A350" t="s">
        <v>373</v>
      </c>
      <c r="B350">
        <v>2024</v>
      </c>
      <c r="C350" s="9">
        <v>45292</v>
      </c>
      <c r="D350" t="s">
        <v>24</v>
      </c>
      <c r="E350" t="s">
        <v>15</v>
      </c>
      <c r="F350">
        <v>0</v>
      </c>
      <c r="H350" s="9"/>
    </row>
    <row r="351" spans="1:8">
      <c r="A351" t="s">
        <v>374</v>
      </c>
      <c r="B351">
        <v>2024</v>
      </c>
      <c r="C351" s="9">
        <v>45293</v>
      </c>
      <c r="D351" t="s">
        <v>7</v>
      </c>
      <c r="E351" t="s">
        <v>15</v>
      </c>
      <c r="F351">
        <v>0</v>
      </c>
      <c r="H351" s="9"/>
    </row>
    <row r="352" spans="1:8">
      <c r="A352" t="s">
        <v>375</v>
      </c>
      <c r="B352">
        <v>2024</v>
      </c>
      <c r="C352" s="9">
        <v>45294</v>
      </c>
      <c r="D352" t="s">
        <v>10</v>
      </c>
      <c r="E352" t="s">
        <v>15</v>
      </c>
      <c r="F352">
        <v>167</v>
      </c>
      <c r="H352" s="9"/>
    </row>
    <row r="353" spans="1:8">
      <c r="A353" t="s">
        <v>376</v>
      </c>
      <c r="B353">
        <v>2024</v>
      </c>
      <c r="C353" s="9">
        <v>45295</v>
      </c>
      <c r="D353" t="s">
        <v>13</v>
      </c>
      <c r="E353" t="s">
        <v>15</v>
      </c>
      <c r="F353">
        <v>571</v>
      </c>
      <c r="H353" s="9"/>
    </row>
    <row r="354" spans="1:8">
      <c r="A354" t="s">
        <v>377</v>
      </c>
      <c r="B354">
        <v>2024</v>
      </c>
      <c r="C354" s="9">
        <v>45296</v>
      </c>
      <c r="D354" t="s">
        <v>18</v>
      </c>
      <c r="E354" t="s">
        <v>15</v>
      </c>
      <c r="F354">
        <v>577</v>
      </c>
      <c r="H354" s="9"/>
    </row>
    <row r="355" spans="1:8">
      <c r="A355" t="s">
        <v>378</v>
      </c>
      <c r="B355">
        <v>2024</v>
      </c>
      <c r="C355" s="9">
        <v>45297</v>
      </c>
      <c r="D355" t="s">
        <v>20</v>
      </c>
      <c r="E355" t="s">
        <v>15</v>
      </c>
      <c r="F355">
        <v>392</v>
      </c>
      <c r="H355" s="9"/>
    </row>
    <row r="356" spans="1:8">
      <c r="A356" t="s">
        <v>379</v>
      </c>
      <c r="B356">
        <v>2024</v>
      </c>
      <c r="C356" s="9">
        <v>45298</v>
      </c>
      <c r="D356" t="s">
        <v>22</v>
      </c>
      <c r="E356" t="s">
        <v>15</v>
      </c>
      <c r="F356">
        <v>0</v>
      </c>
      <c r="H356" s="9"/>
    </row>
    <row r="357" spans="1:8">
      <c r="A357" t="s">
        <v>380</v>
      </c>
      <c r="B357">
        <v>2024</v>
      </c>
      <c r="C357" s="9">
        <v>45299</v>
      </c>
      <c r="D357" t="s">
        <v>24</v>
      </c>
      <c r="E357" t="s">
        <v>15</v>
      </c>
      <c r="F357">
        <v>0</v>
      </c>
      <c r="H357" s="9"/>
    </row>
    <row r="358" spans="1:8">
      <c r="A358" t="s">
        <v>381</v>
      </c>
      <c r="B358">
        <v>2024</v>
      </c>
      <c r="C358" s="9">
        <v>45300</v>
      </c>
      <c r="D358" t="s">
        <v>7</v>
      </c>
      <c r="E358" t="s">
        <v>15</v>
      </c>
      <c r="F358">
        <v>475</v>
      </c>
      <c r="H358" s="9"/>
    </row>
    <row r="359" spans="1:8">
      <c r="A359" t="s">
        <v>382</v>
      </c>
      <c r="B359">
        <v>2024</v>
      </c>
      <c r="C359" s="9">
        <v>45301</v>
      </c>
      <c r="D359" t="s">
        <v>10</v>
      </c>
      <c r="E359" t="s">
        <v>15</v>
      </c>
      <c r="F359">
        <v>314</v>
      </c>
      <c r="H359" s="9"/>
    </row>
    <row r="360" spans="1:8">
      <c r="A360" t="s">
        <v>383</v>
      </c>
      <c r="B360">
        <v>2024</v>
      </c>
      <c r="C360" s="9">
        <v>45302</v>
      </c>
      <c r="D360" t="s">
        <v>13</v>
      </c>
      <c r="E360" t="s">
        <v>15</v>
      </c>
      <c r="F360">
        <v>360</v>
      </c>
      <c r="H360" s="9"/>
    </row>
    <row r="361" spans="1:8">
      <c r="A361" t="s">
        <v>384</v>
      </c>
      <c r="B361">
        <v>2024</v>
      </c>
      <c r="C361" s="9">
        <v>45303</v>
      </c>
      <c r="D361" t="s">
        <v>18</v>
      </c>
      <c r="E361" t="s">
        <v>15</v>
      </c>
      <c r="F361">
        <v>646</v>
      </c>
      <c r="H361" s="9"/>
    </row>
    <row r="362" spans="1:8">
      <c r="A362" t="s">
        <v>385</v>
      </c>
      <c r="B362">
        <v>2024</v>
      </c>
      <c r="C362" s="9">
        <v>45304</v>
      </c>
      <c r="D362" t="s">
        <v>20</v>
      </c>
      <c r="E362" t="s">
        <v>15</v>
      </c>
      <c r="F362">
        <v>185</v>
      </c>
      <c r="H362" s="9"/>
    </row>
    <row r="363" spans="1:8">
      <c r="A363" t="s">
        <v>386</v>
      </c>
      <c r="B363">
        <v>2024</v>
      </c>
      <c r="C363" s="9">
        <v>45305</v>
      </c>
      <c r="D363" t="s">
        <v>22</v>
      </c>
      <c r="E363" t="s">
        <v>15</v>
      </c>
      <c r="F363">
        <v>0</v>
      </c>
      <c r="H363" s="9"/>
    </row>
    <row r="364" spans="1:8">
      <c r="A364" t="s">
        <v>387</v>
      </c>
      <c r="B364">
        <v>2024</v>
      </c>
      <c r="C364" s="9">
        <v>45306</v>
      </c>
      <c r="D364" t="s">
        <v>24</v>
      </c>
      <c r="E364" t="s">
        <v>15</v>
      </c>
      <c r="F364">
        <v>0</v>
      </c>
      <c r="H364" s="9"/>
    </row>
    <row r="365" spans="1:8">
      <c r="A365" t="s">
        <v>388</v>
      </c>
      <c r="B365">
        <v>2024</v>
      </c>
      <c r="C365" s="9">
        <v>45307</v>
      </c>
      <c r="D365" t="s">
        <v>7</v>
      </c>
      <c r="E365" t="s">
        <v>15</v>
      </c>
      <c r="F365">
        <v>463</v>
      </c>
      <c r="H365" s="9"/>
    </row>
    <row r="366" spans="1:8">
      <c r="A366" t="s">
        <v>389</v>
      </c>
      <c r="B366">
        <v>2024</v>
      </c>
      <c r="C366" s="9">
        <v>45308</v>
      </c>
      <c r="D366" t="s">
        <v>10</v>
      </c>
      <c r="E366" t="s">
        <v>15</v>
      </c>
      <c r="F366">
        <v>455</v>
      </c>
      <c r="H366" s="9"/>
    </row>
    <row r="367" spans="1:8">
      <c r="A367" t="s">
        <v>390</v>
      </c>
      <c r="B367">
        <v>2024</v>
      </c>
      <c r="C367" s="9">
        <v>45309</v>
      </c>
      <c r="D367" t="s">
        <v>13</v>
      </c>
      <c r="E367" t="s">
        <v>15</v>
      </c>
      <c r="F367">
        <v>366</v>
      </c>
      <c r="H367" s="9"/>
    </row>
    <row r="368" spans="1:8">
      <c r="A368" t="s">
        <v>391</v>
      </c>
      <c r="B368">
        <v>2024</v>
      </c>
      <c r="C368" s="9">
        <v>45310</v>
      </c>
      <c r="D368" t="s">
        <v>18</v>
      </c>
      <c r="E368" t="s">
        <v>15</v>
      </c>
      <c r="F368">
        <v>362</v>
      </c>
      <c r="H368" s="9"/>
    </row>
    <row r="369" spans="1:8">
      <c r="A369" t="s">
        <v>392</v>
      </c>
      <c r="B369">
        <v>2024</v>
      </c>
      <c r="C369" s="9">
        <v>45311</v>
      </c>
      <c r="D369" t="s">
        <v>20</v>
      </c>
      <c r="E369" t="s">
        <v>15</v>
      </c>
      <c r="F369">
        <v>641</v>
      </c>
      <c r="H369" s="9"/>
    </row>
    <row r="370" spans="1:8">
      <c r="A370" t="s">
        <v>393</v>
      </c>
      <c r="B370">
        <v>2024</v>
      </c>
      <c r="C370" s="9">
        <v>45312</v>
      </c>
      <c r="D370" t="s">
        <v>22</v>
      </c>
      <c r="E370" t="s">
        <v>15</v>
      </c>
      <c r="F370">
        <v>0</v>
      </c>
      <c r="H370" s="9"/>
    </row>
    <row r="371" spans="1:8">
      <c r="A371" t="s">
        <v>394</v>
      </c>
      <c r="B371">
        <v>2024</v>
      </c>
      <c r="C371" s="9">
        <v>45313</v>
      </c>
      <c r="D371" t="s">
        <v>24</v>
      </c>
      <c r="E371" t="s">
        <v>15</v>
      </c>
      <c r="F371">
        <v>0</v>
      </c>
      <c r="H371" s="9"/>
    </row>
    <row r="372" spans="1:8">
      <c r="A372" t="s">
        <v>395</v>
      </c>
      <c r="B372">
        <v>2024</v>
      </c>
      <c r="C372" s="9">
        <v>45314</v>
      </c>
      <c r="D372" t="s">
        <v>7</v>
      </c>
      <c r="E372" t="s">
        <v>15</v>
      </c>
      <c r="F372">
        <v>302</v>
      </c>
      <c r="H372" s="9"/>
    </row>
    <row r="373" spans="1:8">
      <c r="A373" t="s">
        <v>396</v>
      </c>
      <c r="B373">
        <v>2024</v>
      </c>
      <c r="C373" s="9">
        <v>45315</v>
      </c>
      <c r="D373" t="s">
        <v>10</v>
      </c>
      <c r="E373" t="s">
        <v>15</v>
      </c>
      <c r="F373">
        <v>371</v>
      </c>
      <c r="H373" s="9"/>
    </row>
    <row r="374" spans="1:8">
      <c r="A374" t="s">
        <v>397</v>
      </c>
      <c r="B374">
        <v>2024</v>
      </c>
      <c r="C374" s="9">
        <v>45316</v>
      </c>
      <c r="D374" t="s">
        <v>13</v>
      </c>
      <c r="E374" t="s">
        <v>15</v>
      </c>
      <c r="F374">
        <v>385</v>
      </c>
      <c r="H374" s="9"/>
    </row>
    <row r="375" spans="1:8">
      <c r="A375" t="s">
        <v>398</v>
      </c>
      <c r="B375">
        <v>2024</v>
      </c>
      <c r="C375" s="9">
        <v>45317</v>
      </c>
      <c r="D375" t="s">
        <v>18</v>
      </c>
      <c r="E375" t="s">
        <v>15</v>
      </c>
      <c r="F375">
        <v>399</v>
      </c>
      <c r="H375" s="9"/>
    </row>
    <row r="376" spans="1:8">
      <c r="A376" t="s">
        <v>399</v>
      </c>
      <c r="B376">
        <v>2024</v>
      </c>
      <c r="C376" s="9">
        <v>45318</v>
      </c>
      <c r="D376" t="s">
        <v>20</v>
      </c>
      <c r="E376" t="s">
        <v>15</v>
      </c>
      <c r="F376">
        <v>209</v>
      </c>
      <c r="H376" s="9"/>
    </row>
    <row r="377" spans="1:8">
      <c r="A377" t="s">
        <v>400</v>
      </c>
      <c r="B377">
        <v>2024</v>
      </c>
      <c r="C377" s="9">
        <v>45319</v>
      </c>
      <c r="D377" t="s">
        <v>22</v>
      </c>
      <c r="E377" t="s">
        <v>15</v>
      </c>
      <c r="F377">
        <v>0</v>
      </c>
      <c r="H377" s="9"/>
    </row>
    <row r="378" spans="1:8">
      <c r="A378" t="s">
        <v>401</v>
      </c>
      <c r="B378">
        <v>2024</v>
      </c>
      <c r="C378" s="9">
        <v>45320</v>
      </c>
      <c r="D378" t="s">
        <v>24</v>
      </c>
      <c r="E378" t="s">
        <v>15</v>
      </c>
      <c r="F378">
        <v>0</v>
      </c>
      <c r="H378" s="9"/>
    </row>
    <row r="379" spans="1:8">
      <c r="A379" t="s">
        <v>402</v>
      </c>
      <c r="B379">
        <v>2024</v>
      </c>
      <c r="C379" s="9">
        <v>45321</v>
      </c>
      <c r="D379" t="s">
        <v>7</v>
      </c>
      <c r="E379" t="s">
        <v>15</v>
      </c>
      <c r="F379">
        <v>515</v>
      </c>
      <c r="H379" s="9"/>
    </row>
    <row r="380" spans="1:8">
      <c r="A380" t="s">
        <v>403</v>
      </c>
      <c r="B380">
        <v>2024</v>
      </c>
      <c r="C380" s="9">
        <v>45322</v>
      </c>
      <c r="D380" t="s">
        <v>10</v>
      </c>
      <c r="E380" t="s">
        <v>15</v>
      </c>
      <c r="F380">
        <v>340</v>
      </c>
      <c r="H380" s="9"/>
    </row>
    <row r="381" spans="1:8">
      <c r="A381" t="s">
        <v>404</v>
      </c>
      <c r="B381">
        <v>2024</v>
      </c>
      <c r="C381" s="9">
        <v>45323</v>
      </c>
      <c r="D381" t="s">
        <v>13</v>
      </c>
      <c r="E381" t="s">
        <v>51</v>
      </c>
      <c r="F381">
        <v>447</v>
      </c>
      <c r="H381" s="9"/>
    </row>
    <row r="382" spans="1:8">
      <c r="A382" t="s">
        <v>405</v>
      </c>
      <c r="B382">
        <v>2024</v>
      </c>
      <c r="C382" s="9">
        <v>45324</v>
      </c>
      <c r="D382" t="s">
        <v>18</v>
      </c>
      <c r="E382" t="s">
        <v>51</v>
      </c>
      <c r="F382">
        <v>438</v>
      </c>
      <c r="H382" s="9"/>
    </row>
    <row r="383" spans="1:8">
      <c r="A383" t="s">
        <v>406</v>
      </c>
      <c r="B383">
        <v>2024</v>
      </c>
      <c r="C383" s="9">
        <v>45325</v>
      </c>
      <c r="D383" t="s">
        <v>20</v>
      </c>
      <c r="E383" t="s">
        <v>51</v>
      </c>
      <c r="F383">
        <v>402</v>
      </c>
      <c r="H383" s="9"/>
    </row>
    <row r="384" spans="1:8">
      <c r="A384" t="s">
        <v>407</v>
      </c>
      <c r="B384">
        <v>2024</v>
      </c>
      <c r="C384" s="9">
        <v>45326</v>
      </c>
      <c r="D384" t="s">
        <v>22</v>
      </c>
      <c r="E384" t="s">
        <v>51</v>
      </c>
      <c r="F384">
        <v>0</v>
      </c>
      <c r="H384" s="9"/>
    </row>
    <row r="385" spans="1:8">
      <c r="A385" t="s">
        <v>408</v>
      </c>
      <c r="B385">
        <v>2024</v>
      </c>
      <c r="C385" s="9">
        <v>45327</v>
      </c>
      <c r="D385" t="s">
        <v>24</v>
      </c>
      <c r="E385" t="s">
        <v>51</v>
      </c>
      <c r="F385">
        <v>0</v>
      </c>
      <c r="H385" s="9"/>
    </row>
    <row r="386" spans="1:8">
      <c r="A386" t="s">
        <v>409</v>
      </c>
      <c r="B386">
        <v>2024</v>
      </c>
      <c r="C386" s="9">
        <v>45328</v>
      </c>
      <c r="D386" t="s">
        <v>7</v>
      </c>
      <c r="E386" t="s">
        <v>51</v>
      </c>
      <c r="F386">
        <v>685.35</v>
      </c>
      <c r="H386" s="9"/>
    </row>
    <row r="387" spans="1:8">
      <c r="A387" t="s">
        <v>410</v>
      </c>
      <c r="B387">
        <v>2024</v>
      </c>
      <c r="C387" s="9">
        <v>45329</v>
      </c>
      <c r="D387" t="s">
        <v>10</v>
      </c>
      <c r="E387" t="s">
        <v>51</v>
      </c>
      <c r="F387">
        <v>430</v>
      </c>
      <c r="H387" s="9"/>
    </row>
    <row r="388" spans="1:8">
      <c r="A388" t="s">
        <v>411</v>
      </c>
      <c r="B388">
        <v>2024</v>
      </c>
      <c r="C388" s="9">
        <v>45330</v>
      </c>
      <c r="D388" t="s">
        <v>13</v>
      </c>
      <c r="E388" t="s">
        <v>51</v>
      </c>
      <c r="F388">
        <v>130</v>
      </c>
      <c r="H388" s="9"/>
    </row>
    <row r="389" spans="1:8">
      <c r="A389" t="s">
        <v>412</v>
      </c>
      <c r="B389">
        <v>2024</v>
      </c>
      <c r="C389" s="9">
        <v>45331</v>
      </c>
      <c r="D389" t="s">
        <v>18</v>
      </c>
      <c r="E389" t="s">
        <v>51</v>
      </c>
      <c r="F389">
        <v>452</v>
      </c>
      <c r="H389" s="9"/>
    </row>
    <row r="390" spans="1:8">
      <c r="A390" t="s">
        <v>413</v>
      </c>
      <c r="B390">
        <v>2024</v>
      </c>
      <c r="C390" s="9">
        <v>45332</v>
      </c>
      <c r="D390" t="s">
        <v>20</v>
      </c>
      <c r="E390" t="s">
        <v>51</v>
      </c>
      <c r="F390">
        <v>458</v>
      </c>
      <c r="H390" s="9"/>
    </row>
    <row r="391" spans="1:8">
      <c r="A391" t="s">
        <v>414</v>
      </c>
      <c r="B391">
        <v>2024</v>
      </c>
      <c r="C391" s="9">
        <v>45333</v>
      </c>
      <c r="D391" t="s">
        <v>22</v>
      </c>
      <c r="E391" t="s">
        <v>51</v>
      </c>
      <c r="F391">
        <v>0</v>
      </c>
      <c r="H391" s="9"/>
    </row>
    <row r="392" spans="1:8">
      <c r="A392" t="s">
        <v>415</v>
      </c>
      <c r="B392">
        <v>2024</v>
      </c>
      <c r="C392" s="9">
        <v>45334</v>
      </c>
      <c r="D392" t="s">
        <v>24</v>
      </c>
      <c r="E392" t="s">
        <v>51</v>
      </c>
      <c r="F392">
        <v>0</v>
      </c>
      <c r="H392" s="9"/>
    </row>
    <row r="393" spans="1:8">
      <c r="A393" t="s">
        <v>416</v>
      </c>
      <c r="B393">
        <v>2024</v>
      </c>
      <c r="C393" s="9">
        <v>45335</v>
      </c>
      <c r="D393" t="s">
        <v>7</v>
      </c>
      <c r="E393" t="s">
        <v>51</v>
      </c>
      <c r="F393">
        <v>394</v>
      </c>
      <c r="H393" s="9"/>
    </row>
    <row r="394" spans="1:8">
      <c r="A394" t="s">
        <v>417</v>
      </c>
      <c r="B394">
        <v>2024</v>
      </c>
      <c r="C394" s="9">
        <v>45336</v>
      </c>
      <c r="D394" t="s">
        <v>10</v>
      </c>
      <c r="E394" t="s">
        <v>51</v>
      </c>
      <c r="F394">
        <v>544</v>
      </c>
      <c r="H394" s="9"/>
    </row>
    <row r="395" spans="1:8">
      <c r="A395" t="s">
        <v>418</v>
      </c>
      <c r="B395">
        <v>2024</v>
      </c>
      <c r="C395" s="9">
        <v>45337</v>
      </c>
      <c r="D395" t="s">
        <v>13</v>
      </c>
      <c r="E395" t="s">
        <v>51</v>
      </c>
      <c r="F395">
        <v>411</v>
      </c>
      <c r="H395" s="9"/>
    </row>
    <row r="396" spans="1:8">
      <c r="A396" t="s">
        <v>419</v>
      </c>
      <c r="B396">
        <v>2024</v>
      </c>
      <c r="C396" s="9">
        <v>45338</v>
      </c>
      <c r="D396" t="s">
        <v>18</v>
      </c>
      <c r="E396" t="s">
        <v>51</v>
      </c>
      <c r="F396">
        <v>336</v>
      </c>
      <c r="H396" s="9"/>
    </row>
    <row r="397" spans="1:8">
      <c r="A397" t="s">
        <v>420</v>
      </c>
      <c r="B397">
        <v>2024</v>
      </c>
      <c r="C397" s="9">
        <v>45339</v>
      </c>
      <c r="D397" t="s">
        <v>20</v>
      </c>
      <c r="E397" t="s">
        <v>51</v>
      </c>
      <c r="F397">
        <v>235</v>
      </c>
      <c r="H397" s="9"/>
    </row>
    <row r="398" spans="1:8">
      <c r="A398" t="s">
        <v>421</v>
      </c>
      <c r="B398">
        <v>2024</v>
      </c>
      <c r="C398" s="9">
        <v>45340</v>
      </c>
      <c r="D398" t="s">
        <v>22</v>
      </c>
      <c r="E398" t="s">
        <v>51</v>
      </c>
      <c r="F398">
        <v>0</v>
      </c>
      <c r="H398" s="9"/>
    </row>
    <row r="399" spans="1:8">
      <c r="A399" t="s">
        <v>422</v>
      </c>
      <c r="B399">
        <v>2024</v>
      </c>
      <c r="C399" s="9">
        <v>45341</v>
      </c>
      <c r="D399" t="s">
        <v>24</v>
      </c>
      <c r="E399" t="s">
        <v>51</v>
      </c>
      <c r="F399">
        <v>0</v>
      </c>
      <c r="H399" s="9"/>
    </row>
    <row r="400" spans="1:8">
      <c r="A400" t="s">
        <v>423</v>
      </c>
      <c r="B400">
        <v>2024</v>
      </c>
      <c r="C400" s="9">
        <v>45342</v>
      </c>
      <c r="D400" t="s">
        <v>7</v>
      </c>
      <c r="E400" t="s">
        <v>51</v>
      </c>
      <c r="F400">
        <v>477</v>
      </c>
      <c r="H400" s="9"/>
    </row>
    <row r="401" spans="1:8">
      <c r="A401" t="s">
        <v>424</v>
      </c>
      <c r="B401">
        <v>2024</v>
      </c>
      <c r="C401" s="9">
        <v>45343</v>
      </c>
      <c r="D401" t="s">
        <v>10</v>
      </c>
      <c r="E401" t="s">
        <v>51</v>
      </c>
      <c r="F401">
        <v>474</v>
      </c>
      <c r="H401" s="9"/>
    </row>
    <row r="402" spans="1:8">
      <c r="A402" t="s">
        <v>425</v>
      </c>
      <c r="B402">
        <v>2024</v>
      </c>
      <c r="C402" s="9">
        <v>45344</v>
      </c>
      <c r="D402" t="s">
        <v>13</v>
      </c>
      <c r="E402" t="s">
        <v>51</v>
      </c>
      <c r="F402">
        <v>343</v>
      </c>
      <c r="H402" s="9"/>
    </row>
    <row r="403" spans="1:8">
      <c r="A403" t="s">
        <v>426</v>
      </c>
      <c r="B403">
        <v>2024</v>
      </c>
      <c r="C403" s="9">
        <v>45345</v>
      </c>
      <c r="D403" t="s">
        <v>18</v>
      </c>
      <c r="E403" t="s">
        <v>51</v>
      </c>
      <c r="F403">
        <v>279</v>
      </c>
      <c r="H403" s="9"/>
    </row>
    <row r="404" spans="1:8">
      <c r="A404" t="s">
        <v>427</v>
      </c>
      <c r="B404">
        <v>2024</v>
      </c>
      <c r="C404" s="9">
        <v>45346</v>
      </c>
      <c r="D404" t="s">
        <v>20</v>
      </c>
      <c r="E404" t="s">
        <v>51</v>
      </c>
      <c r="F404">
        <v>469</v>
      </c>
      <c r="H404" s="9"/>
    </row>
    <row r="405" spans="1:8">
      <c r="A405" t="s">
        <v>428</v>
      </c>
      <c r="B405">
        <v>2024</v>
      </c>
      <c r="C405" s="9">
        <v>45347</v>
      </c>
      <c r="D405" t="s">
        <v>22</v>
      </c>
      <c r="E405" t="s">
        <v>51</v>
      </c>
      <c r="F405">
        <v>0</v>
      </c>
      <c r="H405" s="9"/>
    </row>
    <row r="406" spans="1:8">
      <c r="A406" t="s">
        <v>429</v>
      </c>
      <c r="B406">
        <v>2024</v>
      </c>
      <c r="C406" s="9">
        <v>45348</v>
      </c>
      <c r="D406" t="s">
        <v>24</v>
      </c>
      <c r="E406" t="s">
        <v>51</v>
      </c>
      <c r="F406">
        <v>0</v>
      </c>
      <c r="H406" s="9"/>
    </row>
    <row r="407" spans="1:8">
      <c r="A407" t="s">
        <v>430</v>
      </c>
      <c r="B407">
        <v>2024</v>
      </c>
      <c r="C407" s="9">
        <v>45349</v>
      </c>
      <c r="D407" t="s">
        <v>7</v>
      </c>
      <c r="E407" t="s">
        <v>51</v>
      </c>
      <c r="F407">
        <v>458</v>
      </c>
      <c r="H407" s="9"/>
    </row>
    <row r="408" spans="1:8">
      <c r="A408" t="s">
        <v>431</v>
      </c>
      <c r="B408">
        <v>2024</v>
      </c>
      <c r="C408" s="9">
        <v>45350</v>
      </c>
      <c r="D408" t="s">
        <v>10</v>
      </c>
      <c r="E408" t="s">
        <v>51</v>
      </c>
      <c r="F408">
        <v>608</v>
      </c>
      <c r="H408" s="9"/>
    </row>
    <row r="409" spans="1:8">
      <c r="A409" t="s">
        <v>432</v>
      </c>
      <c r="B409">
        <v>2024</v>
      </c>
      <c r="C409" s="9">
        <v>45351</v>
      </c>
      <c r="D409" t="s">
        <v>13</v>
      </c>
      <c r="E409" t="s">
        <v>51</v>
      </c>
      <c r="F409">
        <v>510</v>
      </c>
      <c r="H409" s="9"/>
    </row>
    <row r="410" spans="1:8">
      <c r="A410" t="s">
        <v>433</v>
      </c>
      <c r="B410">
        <v>2024</v>
      </c>
      <c r="C410" s="9">
        <v>45352</v>
      </c>
      <c r="D410" t="s">
        <v>18</v>
      </c>
      <c r="E410" t="s">
        <v>80</v>
      </c>
      <c r="F410">
        <v>546.5</v>
      </c>
      <c r="H410" s="9"/>
    </row>
    <row r="411" spans="1:8">
      <c r="A411" t="s">
        <v>434</v>
      </c>
      <c r="B411">
        <v>2024</v>
      </c>
      <c r="C411" s="9">
        <v>45353</v>
      </c>
      <c r="D411" t="s">
        <v>20</v>
      </c>
      <c r="E411" t="s">
        <v>80</v>
      </c>
      <c r="F411">
        <v>420</v>
      </c>
      <c r="H411" s="9"/>
    </row>
    <row r="412" spans="1:8">
      <c r="A412" t="s">
        <v>435</v>
      </c>
      <c r="B412">
        <v>2024</v>
      </c>
      <c r="C412" s="9">
        <v>45354</v>
      </c>
      <c r="D412" t="s">
        <v>22</v>
      </c>
      <c r="E412" t="s">
        <v>80</v>
      </c>
      <c r="F412">
        <v>0</v>
      </c>
      <c r="H412" s="9"/>
    </row>
    <row r="413" spans="1:8">
      <c r="A413" t="s">
        <v>436</v>
      </c>
      <c r="B413">
        <v>2024</v>
      </c>
      <c r="C413" s="9">
        <v>45355</v>
      </c>
      <c r="D413" t="s">
        <v>24</v>
      </c>
      <c r="E413" t="s">
        <v>80</v>
      </c>
      <c r="F413">
        <v>0</v>
      </c>
      <c r="H413" s="9"/>
    </row>
    <row r="414" spans="1:8">
      <c r="A414" t="s">
        <v>437</v>
      </c>
      <c r="B414">
        <v>2024</v>
      </c>
      <c r="C414" s="9">
        <v>45356</v>
      </c>
      <c r="D414" t="s">
        <v>7</v>
      </c>
      <c r="E414" t="s">
        <v>80</v>
      </c>
      <c r="F414">
        <v>530</v>
      </c>
      <c r="H414" s="9"/>
    </row>
    <row r="415" spans="1:8">
      <c r="A415" t="s">
        <v>438</v>
      </c>
      <c r="B415">
        <v>2024</v>
      </c>
      <c r="C415" s="9">
        <v>45357</v>
      </c>
      <c r="D415" t="s">
        <v>10</v>
      </c>
      <c r="E415" t="s">
        <v>80</v>
      </c>
      <c r="F415">
        <v>592</v>
      </c>
      <c r="H415" s="9"/>
    </row>
    <row r="416" spans="1:8">
      <c r="A416" t="s">
        <v>439</v>
      </c>
      <c r="B416">
        <v>2024</v>
      </c>
      <c r="C416" s="9">
        <v>45358</v>
      </c>
      <c r="D416" t="s">
        <v>13</v>
      </c>
      <c r="E416" t="s">
        <v>80</v>
      </c>
      <c r="F416">
        <v>257</v>
      </c>
      <c r="H416" s="9"/>
    </row>
    <row r="417" spans="1:8">
      <c r="A417" t="s">
        <v>440</v>
      </c>
      <c r="B417">
        <v>2024</v>
      </c>
      <c r="C417" s="9">
        <v>45359</v>
      </c>
      <c r="D417" t="s">
        <v>18</v>
      </c>
      <c r="E417" t="s">
        <v>80</v>
      </c>
      <c r="F417">
        <v>711</v>
      </c>
      <c r="H417" s="9"/>
    </row>
    <row r="418" spans="1:8">
      <c r="A418" t="s">
        <v>441</v>
      </c>
      <c r="B418">
        <v>2024</v>
      </c>
      <c r="C418" s="9">
        <v>45360</v>
      </c>
      <c r="D418" t="s">
        <v>20</v>
      </c>
      <c r="E418" t="s">
        <v>80</v>
      </c>
      <c r="F418">
        <v>597</v>
      </c>
      <c r="H418" s="9"/>
    </row>
    <row r="419" spans="1:8">
      <c r="A419" t="s">
        <v>442</v>
      </c>
      <c r="B419">
        <v>2024</v>
      </c>
      <c r="C419" s="9">
        <v>45361</v>
      </c>
      <c r="D419" t="s">
        <v>22</v>
      </c>
      <c r="E419" t="s">
        <v>80</v>
      </c>
      <c r="F419">
        <v>0</v>
      </c>
      <c r="H419" s="9"/>
    </row>
    <row r="420" spans="1:8">
      <c r="A420" t="s">
        <v>443</v>
      </c>
      <c r="B420">
        <v>2024</v>
      </c>
      <c r="C420" s="9">
        <v>45362</v>
      </c>
      <c r="D420" t="s">
        <v>24</v>
      </c>
      <c r="E420" t="s">
        <v>80</v>
      </c>
      <c r="F420">
        <v>0</v>
      </c>
      <c r="H420" s="9"/>
    </row>
    <row r="421" spans="1:8">
      <c r="A421" t="s">
        <v>444</v>
      </c>
      <c r="B421">
        <v>2024</v>
      </c>
      <c r="C421" s="9">
        <v>45363</v>
      </c>
      <c r="D421" t="s">
        <v>7</v>
      </c>
      <c r="E421" t="s">
        <v>80</v>
      </c>
      <c r="F421">
        <v>254</v>
      </c>
      <c r="H421" s="9"/>
    </row>
    <row r="422" spans="1:8">
      <c r="A422" t="s">
        <v>445</v>
      </c>
      <c r="B422">
        <v>2024</v>
      </c>
      <c r="C422" s="9">
        <v>45364</v>
      </c>
      <c r="D422" t="s">
        <v>10</v>
      </c>
      <c r="E422" t="s">
        <v>80</v>
      </c>
      <c r="F422">
        <v>444</v>
      </c>
      <c r="H422" s="9"/>
    </row>
    <row r="423" spans="1:8">
      <c r="A423" t="s">
        <v>446</v>
      </c>
      <c r="B423">
        <v>2024</v>
      </c>
      <c r="C423" s="9">
        <v>45365</v>
      </c>
      <c r="D423" t="s">
        <v>13</v>
      </c>
      <c r="E423" t="s">
        <v>80</v>
      </c>
      <c r="F423">
        <v>368</v>
      </c>
      <c r="H423" s="9"/>
    </row>
    <row r="424" spans="1:8">
      <c r="A424" t="s">
        <v>447</v>
      </c>
      <c r="B424">
        <v>2024</v>
      </c>
      <c r="C424" s="9">
        <v>45366</v>
      </c>
      <c r="D424" t="s">
        <v>18</v>
      </c>
      <c r="E424" t="s">
        <v>80</v>
      </c>
      <c r="F424">
        <v>413</v>
      </c>
      <c r="H424" s="9"/>
    </row>
    <row r="425" spans="1:8">
      <c r="A425" t="s">
        <v>448</v>
      </c>
      <c r="B425">
        <v>2024</v>
      </c>
      <c r="C425" s="9">
        <v>45367</v>
      </c>
      <c r="D425" t="s">
        <v>20</v>
      </c>
      <c r="E425" t="s">
        <v>80</v>
      </c>
      <c r="F425">
        <v>276</v>
      </c>
      <c r="H425" s="9"/>
    </row>
    <row r="426" spans="1:8">
      <c r="A426" t="s">
        <v>449</v>
      </c>
      <c r="B426">
        <v>2024</v>
      </c>
      <c r="C426" s="9">
        <v>45368</v>
      </c>
      <c r="D426" t="s">
        <v>22</v>
      </c>
      <c r="E426" t="s">
        <v>80</v>
      </c>
      <c r="F426">
        <v>0</v>
      </c>
      <c r="H426" s="9"/>
    </row>
    <row r="427" spans="1:8">
      <c r="A427" t="s">
        <v>450</v>
      </c>
      <c r="B427">
        <v>2024</v>
      </c>
      <c r="C427" s="9">
        <v>45369</v>
      </c>
      <c r="D427" t="s">
        <v>24</v>
      </c>
      <c r="E427" t="s">
        <v>80</v>
      </c>
      <c r="F427">
        <v>0</v>
      </c>
      <c r="H427" s="9"/>
    </row>
    <row r="428" spans="1:8">
      <c r="A428" t="s">
        <v>451</v>
      </c>
      <c r="B428">
        <v>2024</v>
      </c>
      <c r="C428" s="9">
        <v>45370</v>
      </c>
      <c r="D428" t="s">
        <v>7</v>
      </c>
      <c r="E428" t="s">
        <v>80</v>
      </c>
      <c r="F428">
        <v>225</v>
      </c>
      <c r="H428" s="9"/>
    </row>
    <row r="429" spans="1:8">
      <c r="A429" t="s">
        <v>452</v>
      </c>
      <c r="B429">
        <v>2024</v>
      </c>
      <c r="C429" s="9">
        <v>45371</v>
      </c>
      <c r="D429" t="s">
        <v>10</v>
      </c>
      <c r="E429" t="s">
        <v>80</v>
      </c>
      <c r="F429">
        <v>333</v>
      </c>
      <c r="H429" s="9"/>
    </row>
    <row r="430" spans="1:8">
      <c r="A430" t="s">
        <v>453</v>
      </c>
      <c r="B430">
        <v>2024</v>
      </c>
      <c r="C430" s="9">
        <v>45372</v>
      </c>
      <c r="D430" t="s">
        <v>13</v>
      </c>
      <c r="E430" t="s">
        <v>80</v>
      </c>
      <c r="F430">
        <v>407</v>
      </c>
      <c r="H430" s="9"/>
    </row>
    <row r="431" spans="1:8">
      <c r="A431" t="s">
        <v>454</v>
      </c>
      <c r="B431">
        <v>2024</v>
      </c>
      <c r="C431" s="9">
        <v>45373</v>
      </c>
      <c r="D431" t="s">
        <v>18</v>
      </c>
      <c r="E431" t="s">
        <v>80</v>
      </c>
      <c r="F431">
        <v>303</v>
      </c>
      <c r="H431" s="9"/>
    </row>
    <row r="432" spans="1:8">
      <c r="A432" t="s">
        <v>455</v>
      </c>
      <c r="B432">
        <v>2024</v>
      </c>
      <c r="C432" s="9">
        <v>45374</v>
      </c>
      <c r="D432" t="s">
        <v>20</v>
      </c>
      <c r="E432" t="s">
        <v>80</v>
      </c>
      <c r="F432">
        <v>425</v>
      </c>
      <c r="H432" s="9"/>
    </row>
    <row r="433" spans="1:8">
      <c r="A433" t="s">
        <v>456</v>
      </c>
      <c r="B433">
        <v>2024</v>
      </c>
      <c r="C433" s="9">
        <v>45375</v>
      </c>
      <c r="D433" t="s">
        <v>22</v>
      </c>
      <c r="E433" t="s">
        <v>80</v>
      </c>
      <c r="F433">
        <v>0</v>
      </c>
      <c r="H433" s="9"/>
    </row>
    <row r="434" spans="1:8">
      <c r="A434" t="s">
        <v>457</v>
      </c>
      <c r="B434">
        <v>2024</v>
      </c>
      <c r="C434" s="9">
        <v>45376</v>
      </c>
      <c r="D434" t="s">
        <v>24</v>
      </c>
      <c r="E434" t="s">
        <v>80</v>
      </c>
      <c r="F434">
        <v>0</v>
      </c>
      <c r="H434" s="9"/>
    </row>
    <row r="435" spans="1:8">
      <c r="A435" t="s">
        <v>458</v>
      </c>
      <c r="B435">
        <v>2024</v>
      </c>
      <c r="C435" s="9">
        <v>45377</v>
      </c>
      <c r="D435" t="s">
        <v>7</v>
      </c>
      <c r="E435" t="s">
        <v>80</v>
      </c>
      <c r="F435">
        <v>806</v>
      </c>
      <c r="H435" s="9"/>
    </row>
    <row r="436" spans="1:8">
      <c r="A436" t="s">
        <v>459</v>
      </c>
      <c r="B436">
        <v>2024</v>
      </c>
      <c r="C436" s="9">
        <v>45378</v>
      </c>
      <c r="D436" t="s">
        <v>10</v>
      </c>
      <c r="E436" t="s">
        <v>80</v>
      </c>
      <c r="F436">
        <v>813</v>
      </c>
      <c r="H436" s="9"/>
    </row>
    <row r="437" spans="1:8">
      <c r="A437" t="s">
        <v>460</v>
      </c>
      <c r="B437">
        <v>2024</v>
      </c>
      <c r="C437" s="9">
        <v>45379</v>
      </c>
      <c r="D437" t="s">
        <v>13</v>
      </c>
      <c r="E437" t="s">
        <v>80</v>
      </c>
      <c r="F437">
        <v>570</v>
      </c>
      <c r="H437" s="9"/>
    </row>
    <row r="438" spans="1:8">
      <c r="A438" t="s">
        <v>461</v>
      </c>
      <c r="B438">
        <v>2024</v>
      </c>
      <c r="C438" s="9">
        <v>45380</v>
      </c>
      <c r="D438" t="s">
        <v>18</v>
      </c>
      <c r="E438" t="s">
        <v>80</v>
      </c>
      <c r="F438">
        <v>738</v>
      </c>
      <c r="H438" s="9"/>
    </row>
    <row r="439" spans="1:8">
      <c r="A439" t="s">
        <v>462</v>
      </c>
      <c r="B439">
        <v>2024</v>
      </c>
      <c r="C439" s="9">
        <v>45381</v>
      </c>
      <c r="D439" t="s">
        <v>20</v>
      </c>
      <c r="E439" t="s">
        <v>80</v>
      </c>
      <c r="F439">
        <v>449</v>
      </c>
      <c r="H439" s="9"/>
    </row>
    <row r="440" spans="1:8">
      <c r="A440" t="s">
        <v>463</v>
      </c>
      <c r="B440">
        <v>2024</v>
      </c>
      <c r="C440" s="9">
        <v>45382</v>
      </c>
      <c r="D440" t="s">
        <v>22</v>
      </c>
      <c r="E440" t="s">
        <v>80</v>
      </c>
      <c r="F440">
        <v>0</v>
      </c>
      <c r="H440" s="9"/>
    </row>
    <row r="441" spans="1:8">
      <c r="A441" t="s">
        <v>464</v>
      </c>
      <c r="B441">
        <v>2024</v>
      </c>
      <c r="C441" s="9">
        <v>45383</v>
      </c>
      <c r="D441" t="s">
        <v>24</v>
      </c>
      <c r="E441" t="s">
        <v>112</v>
      </c>
      <c r="F441">
        <v>0</v>
      </c>
      <c r="H441" s="9"/>
    </row>
    <row r="442" spans="1:8">
      <c r="A442" t="s">
        <v>465</v>
      </c>
      <c r="B442">
        <v>2024</v>
      </c>
      <c r="C442" s="9">
        <v>45384</v>
      </c>
      <c r="D442" t="s">
        <v>7</v>
      </c>
      <c r="E442" t="s">
        <v>112</v>
      </c>
      <c r="F442">
        <v>335</v>
      </c>
      <c r="H442" s="9"/>
    </row>
    <row r="443" spans="1:8">
      <c r="A443" t="s">
        <v>466</v>
      </c>
      <c r="B443">
        <v>2024</v>
      </c>
      <c r="C443" s="9">
        <v>45385</v>
      </c>
      <c r="D443" t="s">
        <v>10</v>
      </c>
      <c r="E443" t="s">
        <v>112</v>
      </c>
      <c r="F443">
        <v>540</v>
      </c>
      <c r="H443" s="9"/>
    </row>
    <row r="444" spans="1:8">
      <c r="A444" t="s">
        <v>467</v>
      </c>
      <c r="B444">
        <v>2024</v>
      </c>
      <c r="C444" s="9">
        <v>45386</v>
      </c>
      <c r="D444" t="s">
        <v>13</v>
      </c>
      <c r="E444" t="s">
        <v>112</v>
      </c>
      <c r="F444">
        <v>583</v>
      </c>
      <c r="H444" s="9"/>
    </row>
    <row r="445" spans="1:8">
      <c r="A445" t="s">
        <v>468</v>
      </c>
      <c r="B445">
        <v>2024</v>
      </c>
      <c r="C445" s="9">
        <v>45387</v>
      </c>
      <c r="D445" t="s">
        <v>18</v>
      </c>
      <c r="E445" t="s">
        <v>112</v>
      </c>
      <c r="F445">
        <v>621</v>
      </c>
      <c r="H445" s="9"/>
    </row>
    <row r="446" spans="1:8">
      <c r="A446" t="s">
        <v>469</v>
      </c>
      <c r="B446">
        <v>2024</v>
      </c>
      <c r="C446" s="9">
        <v>45388</v>
      </c>
      <c r="D446" t="s">
        <v>20</v>
      </c>
      <c r="E446" t="s">
        <v>112</v>
      </c>
      <c r="F446">
        <v>787</v>
      </c>
      <c r="H446" s="9"/>
    </row>
    <row r="447" spans="1:8">
      <c r="A447" t="s">
        <v>470</v>
      </c>
      <c r="B447">
        <v>2024</v>
      </c>
      <c r="C447" s="9">
        <v>45389</v>
      </c>
      <c r="D447" t="s">
        <v>22</v>
      </c>
      <c r="E447" t="s">
        <v>112</v>
      </c>
      <c r="F447">
        <v>0</v>
      </c>
      <c r="H447" s="9"/>
    </row>
    <row r="448" spans="1:8">
      <c r="A448" t="s">
        <v>471</v>
      </c>
      <c r="B448">
        <v>2024</v>
      </c>
      <c r="C448" s="9">
        <v>45390</v>
      </c>
      <c r="D448" t="s">
        <v>24</v>
      </c>
      <c r="E448" t="s">
        <v>112</v>
      </c>
      <c r="F448">
        <v>0</v>
      </c>
      <c r="H448" s="9"/>
    </row>
    <row r="449" spans="1:8">
      <c r="A449" t="s">
        <v>472</v>
      </c>
      <c r="B449">
        <v>2024</v>
      </c>
      <c r="C449" s="9">
        <v>45391</v>
      </c>
      <c r="D449" t="s">
        <v>7</v>
      </c>
      <c r="E449" t="s">
        <v>112</v>
      </c>
      <c r="F449">
        <v>0</v>
      </c>
      <c r="H449" s="9"/>
    </row>
    <row r="450" spans="1:8">
      <c r="A450" t="s">
        <v>473</v>
      </c>
      <c r="B450">
        <v>2024</v>
      </c>
      <c r="C450" s="9">
        <v>45392</v>
      </c>
      <c r="D450" t="s">
        <v>10</v>
      </c>
      <c r="E450" t="s">
        <v>112</v>
      </c>
      <c r="F450">
        <v>789</v>
      </c>
      <c r="H450" s="9"/>
    </row>
    <row r="451" spans="1:8">
      <c r="A451" t="s">
        <v>474</v>
      </c>
      <c r="B451">
        <v>2024</v>
      </c>
      <c r="C451" s="9">
        <v>45393</v>
      </c>
      <c r="D451" t="s">
        <v>13</v>
      </c>
      <c r="E451" t="s">
        <v>112</v>
      </c>
      <c r="F451">
        <v>1013</v>
      </c>
      <c r="H451" s="9"/>
    </row>
    <row r="452" spans="1:8">
      <c r="A452" t="s">
        <v>475</v>
      </c>
      <c r="B452">
        <v>2024</v>
      </c>
      <c r="C452" s="9">
        <v>45394</v>
      </c>
      <c r="D452" t="s">
        <v>18</v>
      </c>
      <c r="E452" t="s">
        <v>112</v>
      </c>
      <c r="F452">
        <v>503</v>
      </c>
      <c r="H452" s="9"/>
    </row>
    <row r="453" spans="1:8">
      <c r="A453" t="s">
        <v>476</v>
      </c>
      <c r="B453">
        <v>2024</v>
      </c>
      <c r="C453" s="9">
        <v>45395</v>
      </c>
      <c r="D453" t="s">
        <v>20</v>
      </c>
      <c r="E453" t="s">
        <v>112</v>
      </c>
      <c r="F453">
        <v>435</v>
      </c>
      <c r="H453" s="9"/>
    </row>
    <row r="454" spans="1:8">
      <c r="A454" t="s">
        <v>477</v>
      </c>
      <c r="B454">
        <v>2024</v>
      </c>
      <c r="C454" s="9">
        <v>45396</v>
      </c>
      <c r="D454" t="s">
        <v>22</v>
      </c>
      <c r="E454" t="s">
        <v>112</v>
      </c>
      <c r="F454">
        <v>0</v>
      </c>
      <c r="H454" s="9"/>
    </row>
    <row r="455" spans="1:8">
      <c r="A455" t="s">
        <v>478</v>
      </c>
      <c r="B455">
        <v>2024</v>
      </c>
      <c r="C455" s="9">
        <v>45397</v>
      </c>
      <c r="D455" t="s">
        <v>24</v>
      </c>
      <c r="E455" t="s">
        <v>112</v>
      </c>
      <c r="F455">
        <v>0</v>
      </c>
      <c r="H455" s="9"/>
    </row>
    <row r="456" spans="1:8">
      <c r="A456" t="s">
        <v>479</v>
      </c>
      <c r="B456">
        <v>2024</v>
      </c>
      <c r="C456" s="9">
        <v>45398</v>
      </c>
      <c r="D456" t="s">
        <v>7</v>
      </c>
      <c r="E456" t="s">
        <v>112</v>
      </c>
      <c r="F456">
        <v>522</v>
      </c>
      <c r="H456" s="9"/>
    </row>
    <row r="457" spans="1:8">
      <c r="A457" t="s">
        <v>480</v>
      </c>
      <c r="B457">
        <v>2024</v>
      </c>
      <c r="C457" s="9">
        <v>45399</v>
      </c>
      <c r="D457" t="s">
        <v>10</v>
      </c>
      <c r="E457" t="s">
        <v>112</v>
      </c>
      <c r="F457">
        <v>850</v>
      </c>
      <c r="H457" s="9"/>
    </row>
    <row r="458" spans="1:8">
      <c r="A458" t="s">
        <v>481</v>
      </c>
      <c r="B458">
        <v>2024</v>
      </c>
      <c r="C458" s="9">
        <v>45400</v>
      </c>
      <c r="D458" t="s">
        <v>13</v>
      </c>
      <c r="E458" t="s">
        <v>112</v>
      </c>
      <c r="F458">
        <v>477</v>
      </c>
      <c r="H458" s="9"/>
    </row>
    <row r="459" spans="1:8">
      <c r="A459" t="s">
        <v>482</v>
      </c>
      <c r="B459">
        <v>2024</v>
      </c>
      <c r="C459" s="9">
        <v>45401</v>
      </c>
      <c r="D459" t="s">
        <v>18</v>
      </c>
      <c r="E459" t="s">
        <v>112</v>
      </c>
      <c r="F459">
        <v>546</v>
      </c>
      <c r="H459" s="9"/>
    </row>
    <row r="460" spans="1:8">
      <c r="A460" t="s">
        <v>483</v>
      </c>
      <c r="B460">
        <v>2024</v>
      </c>
      <c r="C460" s="9">
        <v>45402</v>
      </c>
      <c r="D460" t="s">
        <v>20</v>
      </c>
      <c r="E460" t="s">
        <v>112</v>
      </c>
      <c r="F460">
        <v>402</v>
      </c>
      <c r="H460" s="9"/>
    </row>
    <row r="461" spans="1:8">
      <c r="A461" t="s">
        <v>484</v>
      </c>
      <c r="B461">
        <v>2024</v>
      </c>
      <c r="C461" s="9">
        <v>45403</v>
      </c>
      <c r="D461" t="s">
        <v>22</v>
      </c>
      <c r="E461" t="s">
        <v>112</v>
      </c>
      <c r="F461">
        <v>0</v>
      </c>
      <c r="H461" s="9"/>
    </row>
    <row r="462" spans="1:8">
      <c r="A462" t="s">
        <v>485</v>
      </c>
      <c r="B462">
        <v>2024</v>
      </c>
      <c r="C462" s="9">
        <v>45404</v>
      </c>
      <c r="D462" t="s">
        <v>24</v>
      </c>
      <c r="E462" t="s">
        <v>112</v>
      </c>
      <c r="F462">
        <v>0</v>
      </c>
      <c r="H462" s="9"/>
    </row>
    <row r="463" spans="1:8">
      <c r="A463" t="s">
        <v>486</v>
      </c>
      <c r="B463">
        <v>2024</v>
      </c>
      <c r="C463" s="9">
        <v>45405</v>
      </c>
      <c r="D463" t="s">
        <v>7</v>
      </c>
      <c r="E463" t="s">
        <v>112</v>
      </c>
      <c r="F463">
        <v>559</v>
      </c>
      <c r="H463" s="9"/>
    </row>
    <row r="464" spans="1:8">
      <c r="A464" t="s">
        <v>487</v>
      </c>
      <c r="B464">
        <v>2024</v>
      </c>
      <c r="C464" s="9">
        <v>45406</v>
      </c>
      <c r="D464" t="s">
        <v>10</v>
      </c>
      <c r="E464" t="s">
        <v>112</v>
      </c>
      <c r="F464">
        <v>804</v>
      </c>
      <c r="H464" s="9"/>
    </row>
    <row r="465" spans="1:8">
      <c r="A465" t="s">
        <v>488</v>
      </c>
      <c r="B465">
        <v>2024</v>
      </c>
      <c r="C465" s="9">
        <v>45407</v>
      </c>
      <c r="D465" t="s">
        <v>13</v>
      </c>
      <c r="E465" t="s">
        <v>112</v>
      </c>
      <c r="F465">
        <v>671</v>
      </c>
      <c r="H465" s="9"/>
    </row>
    <row r="466" spans="1:8">
      <c r="A466" t="s">
        <v>489</v>
      </c>
      <c r="B466">
        <v>2024</v>
      </c>
      <c r="C466" s="9">
        <v>45408</v>
      </c>
      <c r="D466" t="s">
        <v>18</v>
      </c>
      <c r="E466" t="s">
        <v>112</v>
      </c>
      <c r="F466">
        <v>741</v>
      </c>
      <c r="H466" s="9"/>
    </row>
    <row r="467" spans="1:8">
      <c r="A467" t="s">
        <v>490</v>
      </c>
      <c r="B467">
        <v>2024</v>
      </c>
      <c r="C467" s="9">
        <v>45409</v>
      </c>
      <c r="D467" t="s">
        <v>20</v>
      </c>
      <c r="E467" t="s">
        <v>112</v>
      </c>
      <c r="F467">
        <v>643.5</v>
      </c>
      <c r="H467" s="9"/>
    </row>
    <row r="468" spans="1:8">
      <c r="A468" t="s">
        <v>491</v>
      </c>
      <c r="B468">
        <v>2024</v>
      </c>
      <c r="C468" s="9">
        <v>45410</v>
      </c>
      <c r="D468" t="s">
        <v>22</v>
      </c>
      <c r="E468" t="s">
        <v>112</v>
      </c>
      <c r="F468">
        <v>0</v>
      </c>
      <c r="H468" s="9"/>
    </row>
    <row r="469" spans="1:8">
      <c r="A469" t="s">
        <v>492</v>
      </c>
      <c r="B469">
        <v>2024</v>
      </c>
      <c r="C469" s="9">
        <v>45411</v>
      </c>
      <c r="D469" t="s">
        <v>24</v>
      </c>
      <c r="E469" t="s">
        <v>112</v>
      </c>
      <c r="F469">
        <v>0</v>
      </c>
      <c r="H469" s="9"/>
    </row>
    <row r="470" spans="1:8">
      <c r="A470" t="s">
        <v>493</v>
      </c>
      <c r="B470">
        <v>2024</v>
      </c>
      <c r="C470" s="9">
        <v>45412</v>
      </c>
      <c r="D470" t="s">
        <v>7</v>
      </c>
      <c r="E470" t="s">
        <v>112</v>
      </c>
      <c r="F470">
        <v>298</v>
      </c>
      <c r="H470" s="9"/>
    </row>
    <row r="471" spans="1:8">
      <c r="A471" t="s">
        <v>494</v>
      </c>
      <c r="B471">
        <v>2024</v>
      </c>
      <c r="C471" s="9">
        <v>45413</v>
      </c>
      <c r="D471" t="s">
        <v>10</v>
      </c>
      <c r="E471" t="s">
        <v>143</v>
      </c>
      <c r="F471">
        <v>0</v>
      </c>
      <c r="H471" s="9"/>
    </row>
    <row r="472" spans="1:8">
      <c r="A472" t="s">
        <v>495</v>
      </c>
      <c r="B472">
        <v>2024</v>
      </c>
      <c r="C472" s="9">
        <v>45414</v>
      </c>
      <c r="D472" t="s">
        <v>13</v>
      </c>
      <c r="E472" t="s">
        <v>143</v>
      </c>
      <c r="F472">
        <v>708</v>
      </c>
      <c r="H472" s="9"/>
    </row>
    <row r="473" spans="1:8">
      <c r="A473" t="s">
        <v>496</v>
      </c>
      <c r="B473">
        <v>2024</v>
      </c>
      <c r="C473" s="9">
        <v>45415</v>
      </c>
      <c r="D473" t="s">
        <v>18</v>
      </c>
      <c r="E473" t="s">
        <v>143</v>
      </c>
      <c r="F473">
        <v>853</v>
      </c>
      <c r="H473" s="9"/>
    </row>
    <row r="474" spans="1:8">
      <c r="A474" t="s">
        <v>497</v>
      </c>
      <c r="B474">
        <v>2024</v>
      </c>
      <c r="C474" s="9">
        <v>45416</v>
      </c>
      <c r="D474" t="s">
        <v>20</v>
      </c>
      <c r="E474" t="s">
        <v>143</v>
      </c>
      <c r="F474">
        <v>573</v>
      </c>
      <c r="H474" s="9"/>
    </row>
    <row r="475" spans="1:8">
      <c r="A475" t="s">
        <v>498</v>
      </c>
      <c r="B475">
        <v>2024</v>
      </c>
      <c r="C475" s="9">
        <v>45417</v>
      </c>
      <c r="D475" t="s">
        <v>22</v>
      </c>
      <c r="E475" t="s">
        <v>143</v>
      </c>
      <c r="F475">
        <v>0</v>
      </c>
      <c r="H475" s="9"/>
    </row>
    <row r="476" spans="1:8">
      <c r="A476" t="s">
        <v>499</v>
      </c>
      <c r="B476">
        <v>2024</v>
      </c>
      <c r="C476" s="9">
        <v>45418</v>
      </c>
      <c r="D476" t="s">
        <v>24</v>
      </c>
      <c r="E476" t="s">
        <v>143</v>
      </c>
      <c r="F476">
        <v>0</v>
      </c>
      <c r="H476" s="9"/>
    </row>
    <row r="477" spans="1:8">
      <c r="A477" t="s">
        <v>500</v>
      </c>
      <c r="B477">
        <v>2024</v>
      </c>
      <c r="C477" s="9">
        <v>45419</v>
      </c>
      <c r="D477" t="s">
        <v>7</v>
      </c>
      <c r="E477" t="s">
        <v>143</v>
      </c>
      <c r="F477">
        <v>856</v>
      </c>
      <c r="H477" s="9"/>
    </row>
    <row r="478" spans="1:8">
      <c r="A478" t="s">
        <v>501</v>
      </c>
      <c r="B478">
        <v>2024</v>
      </c>
      <c r="C478" s="9">
        <v>45420</v>
      </c>
      <c r="D478" t="s">
        <v>10</v>
      </c>
      <c r="E478" t="s">
        <v>143</v>
      </c>
      <c r="F478">
        <v>115.6</v>
      </c>
      <c r="H478" s="9"/>
    </row>
    <row r="479" spans="1:8">
      <c r="A479" t="s">
        <v>502</v>
      </c>
      <c r="B479">
        <v>2024</v>
      </c>
      <c r="C479" s="9">
        <v>45421</v>
      </c>
      <c r="D479" t="s">
        <v>13</v>
      </c>
      <c r="E479" t="s">
        <v>143</v>
      </c>
      <c r="F479">
        <v>0</v>
      </c>
      <c r="H479" s="9"/>
    </row>
    <row r="480" spans="1:8">
      <c r="A480" t="s">
        <v>503</v>
      </c>
      <c r="B480">
        <v>2024</v>
      </c>
      <c r="C480" s="9">
        <v>45422</v>
      </c>
      <c r="D480" t="s">
        <v>18</v>
      </c>
      <c r="E480" t="s">
        <v>143</v>
      </c>
      <c r="F480">
        <v>811.9</v>
      </c>
      <c r="H480" s="9"/>
    </row>
    <row r="481" spans="1:8">
      <c r="A481" t="s">
        <v>504</v>
      </c>
      <c r="B481">
        <v>2024</v>
      </c>
      <c r="C481" s="9">
        <v>45423</v>
      </c>
      <c r="D481" t="s">
        <v>20</v>
      </c>
      <c r="E481" t="s">
        <v>143</v>
      </c>
      <c r="F481">
        <v>311.5</v>
      </c>
      <c r="H481" s="9"/>
    </row>
    <row r="482" spans="1:8">
      <c r="A482" t="s">
        <v>505</v>
      </c>
      <c r="B482">
        <v>2024</v>
      </c>
      <c r="C482" s="9">
        <v>45424</v>
      </c>
      <c r="D482" t="s">
        <v>22</v>
      </c>
      <c r="E482" t="s">
        <v>143</v>
      </c>
      <c r="F482">
        <v>0</v>
      </c>
      <c r="H482" s="9"/>
    </row>
    <row r="483" spans="1:8">
      <c r="A483" t="s">
        <v>506</v>
      </c>
      <c r="B483">
        <v>2024</v>
      </c>
      <c r="C483" s="9">
        <v>45425</v>
      </c>
      <c r="D483" t="s">
        <v>24</v>
      </c>
      <c r="E483" t="s">
        <v>143</v>
      </c>
      <c r="F483">
        <v>0</v>
      </c>
      <c r="H483" s="9"/>
    </row>
    <row r="484" spans="1:8">
      <c r="A484" t="s">
        <v>507</v>
      </c>
      <c r="B484">
        <v>2024</v>
      </c>
      <c r="C484" s="9">
        <v>45426</v>
      </c>
      <c r="D484" t="s">
        <v>7</v>
      </c>
      <c r="E484" t="s">
        <v>143</v>
      </c>
      <c r="F484">
        <v>621.79999999999995</v>
      </c>
      <c r="H484" s="9"/>
    </row>
    <row r="485" spans="1:8">
      <c r="A485" t="s">
        <v>508</v>
      </c>
      <c r="B485">
        <v>2024</v>
      </c>
      <c r="C485" s="9">
        <v>45427</v>
      </c>
      <c r="D485" t="s">
        <v>10</v>
      </c>
      <c r="E485" t="s">
        <v>143</v>
      </c>
      <c r="F485">
        <v>790</v>
      </c>
      <c r="H485" s="9"/>
    </row>
    <row r="486" spans="1:8">
      <c r="A486" t="s">
        <v>509</v>
      </c>
      <c r="B486">
        <v>2024</v>
      </c>
      <c r="C486" s="9">
        <v>45428</v>
      </c>
      <c r="D486" t="s">
        <v>13</v>
      </c>
      <c r="E486" t="s">
        <v>143</v>
      </c>
      <c r="F486">
        <v>594</v>
      </c>
      <c r="H486" s="9"/>
    </row>
    <row r="487" spans="1:8">
      <c r="A487" t="s">
        <v>510</v>
      </c>
      <c r="B487">
        <v>2024</v>
      </c>
      <c r="C487" s="9">
        <v>45429</v>
      </c>
      <c r="D487" t="s">
        <v>18</v>
      </c>
      <c r="E487" t="s">
        <v>143</v>
      </c>
      <c r="F487">
        <v>823</v>
      </c>
      <c r="H487" s="9"/>
    </row>
    <row r="488" spans="1:8">
      <c r="A488" t="s">
        <v>511</v>
      </c>
      <c r="B488">
        <v>2024</v>
      </c>
      <c r="C488" s="9">
        <v>45430</v>
      </c>
      <c r="D488" t="s">
        <v>20</v>
      </c>
      <c r="E488" t="s">
        <v>143</v>
      </c>
      <c r="F488">
        <v>516</v>
      </c>
      <c r="H488" s="9"/>
    </row>
    <row r="489" spans="1:8">
      <c r="A489" t="s">
        <v>512</v>
      </c>
      <c r="B489">
        <v>2024</v>
      </c>
      <c r="C489" s="9">
        <v>45431</v>
      </c>
      <c r="D489" t="s">
        <v>22</v>
      </c>
      <c r="E489" t="s">
        <v>143</v>
      </c>
      <c r="F489">
        <v>0</v>
      </c>
      <c r="H489" s="9"/>
    </row>
    <row r="490" spans="1:8">
      <c r="A490" t="s">
        <v>513</v>
      </c>
      <c r="B490">
        <v>2024</v>
      </c>
      <c r="C490" s="9">
        <v>45432</v>
      </c>
      <c r="D490" t="s">
        <v>24</v>
      </c>
      <c r="E490" t="s">
        <v>143</v>
      </c>
      <c r="F490">
        <v>0</v>
      </c>
      <c r="H490" s="9"/>
    </row>
    <row r="491" spans="1:8">
      <c r="A491" t="s">
        <v>514</v>
      </c>
      <c r="B491">
        <v>2024</v>
      </c>
      <c r="C491" s="9">
        <v>45433</v>
      </c>
      <c r="D491" t="s">
        <v>7</v>
      </c>
      <c r="E491" t="s">
        <v>143</v>
      </c>
      <c r="F491">
        <v>681</v>
      </c>
      <c r="H491" s="9"/>
    </row>
    <row r="492" spans="1:8">
      <c r="A492" t="s">
        <v>515</v>
      </c>
      <c r="B492">
        <v>2024</v>
      </c>
      <c r="C492" s="9">
        <v>45434</v>
      </c>
      <c r="D492" t="s">
        <v>10</v>
      </c>
      <c r="E492" t="s">
        <v>143</v>
      </c>
      <c r="F492">
        <v>886.5</v>
      </c>
      <c r="H492" s="9"/>
    </row>
    <row r="493" spans="1:8">
      <c r="A493" t="s">
        <v>516</v>
      </c>
      <c r="B493">
        <v>2024</v>
      </c>
      <c r="C493" s="9">
        <v>45435</v>
      </c>
      <c r="D493" t="s">
        <v>13</v>
      </c>
      <c r="E493" t="s">
        <v>143</v>
      </c>
      <c r="F493">
        <v>663</v>
      </c>
      <c r="H493" s="9"/>
    </row>
    <row r="494" spans="1:8">
      <c r="A494" t="s">
        <v>517</v>
      </c>
      <c r="B494">
        <v>2024</v>
      </c>
      <c r="C494" s="9">
        <v>45436</v>
      </c>
      <c r="D494" t="s">
        <v>18</v>
      </c>
      <c r="E494" t="s">
        <v>143</v>
      </c>
      <c r="F494">
        <v>796</v>
      </c>
      <c r="H494" s="9"/>
    </row>
    <row r="495" spans="1:8">
      <c r="A495" t="s">
        <v>518</v>
      </c>
      <c r="B495">
        <v>2024</v>
      </c>
      <c r="C495" s="9">
        <v>45437</v>
      </c>
      <c r="D495" t="s">
        <v>20</v>
      </c>
      <c r="E495" t="s">
        <v>143</v>
      </c>
      <c r="F495">
        <v>343</v>
      </c>
      <c r="H495" s="9"/>
    </row>
    <row r="496" spans="1:8">
      <c r="A496" t="s">
        <v>519</v>
      </c>
      <c r="B496">
        <v>2024</v>
      </c>
      <c r="C496" s="9">
        <v>45438</v>
      </c>
      <c r="D496" t="s">
        <v>22</v>
      </c>
      <c r="E496" t="s">
        <v>143</v>
      </c>
      <c r="F496">
        <v>0</v>
      </c>
      <c r="H496" s="9"/>
    </row>
    <row r="497" spans="1:8">
      <c r="A497" t="s">
        <v>520</v>
      </c>
      <c r="B497">
        <v>2024</v>
      </c>
      <c r="C497" s="9">
        <v>45439</v>
      </c>
      <c r="D497" t="s">
        <v>24</v>
      </c>
      <c r="E497" t="s">
        <v>143</v>
      </c>
      <c r="F497">
        <v>0</v>
      </c>
      <c r="H497" s="9"/>
    </row>
    <row r="498" spans="1:8">
      <c r="A498" t="s">
        <v>521</v>
      </c>
      <c r="B498">
        <v>2024</v>
      </c>
      <c r="C498" s="9">
        <v>45440</v>
      </c>
      <c r="D498" t="s">
        <v>7</v>
      </c>
      <c r="E498" t="s">
        <v>143</v>
      </c>
      <c r="F498">
        <v>428</v>
      </c>
      <c r="H498" s="9"/>
    </row>
    <row r="499" spans="1:8">
      <c r="A499" t="s">
        <v>522</v>
      </c>
      <c r="B499">
        <v>2024</v>
      </c>
      <c r="C499" s="9">
        <v>45441</v>
      </c>
      <c r="D499" t="s">
        <v>10</v>
      </c>
      <c r="E499" t="s">
        <v>143</v>
      </c>
      <c r="F499">
        <v>574</v>
      </c>
      <c r="H499" s="9"/>
    </row>
    <row r="500" spans="1:8">
      <c r="A500" t="s">
        <v>523</v>
      </c>
      <c r="B500">
        <v>2024</v>
      </c>
      <c r="C500" s="9">
        <v>45442</v>
      </c>
      <c r="D500" t="s">
        <v>13</v>
      </c>
      <c r="E500" t="s">
        <v>143</v>
      </c>
      <c r="F500">
        <v>645</v>
      </c>
      <c r="H500" s="9"/>
    </row>
    <row r="501" spans="1:8">
      <c r="A501" t="s">
        <v>524</v>
      </c>
      <c r="B501">
        <v>2024</v>
      </c>
      <c r="C501" s="9">
        <v>45443</v>
      </c>
      <c r="D501" t="s">
        <v>18</v>
      </c>
      <c r="E501" t="s">
        <v>143</v>
      </c>
      <c r="F501">
        <v>421</v>
      </c>
      <c r="H501" s="9"/>
    </row>
    <row r="502" spans="1:8">
      <c r="A502" t="s">
        <v>525</v>
      </c>
      <c r="B502">
        <v>2024</v>
      </c>
      <c r="C502" s="9">
        <v>45444</v>
      </c>
      <c r="D502" t="s">
        <v>20</v>
      </c>
      <c r="E502" t="s">
        <v>174</v>
      </c>
      <c r="F502">
        <v>163.5</v>
      </c>
      <c r="H502" s="9"/>
    </row>
    <row r="503" spans="1:8">
      <c r="A503" t="s">
        <v>526</v>
      </c>
      <c r="B503">
        <v>2024</v>
      </c>
      <c r="C503" s="9">
        <v>45445</v>
      </c>
      <c r="D503" t="s">
        <v>22</v>
      </c>
      <c r="E503" t="s">
        <v>174</v>
      </c>
      <c r="F503">
        <v>0</v>
      </c>
      <c r="H503" s="9"/>
    </row>
    <row r="504" spans="1:8">
      <c r="A504" t="s">
        <v>527</v>
      </c>
      <c r="B504">
        <v>2024</v>
      </c>
      <c r="C504" s="9">
        <v>45446</v>
      </c>
      <c r="D504" t="s">
        <v>24</v>
      </c>
      <c r="E504" t="s">
        <v>174</v>
      </c>
      <c r="F504">
        <v>0</v>
      </c>
      <c r="H504" s="9"/>
    </row>
    <row r="505" spans="1:8">
      <c r="A505" t="s">
        <v>528</v>
      </c>
      <c r="B505">
        <v>2024</v>
      </c>
      <c r="C505" s="9">
        <v>45447</v>
      </c>
      <c r="D505" t="s">
        <v>7</v>
      </c>
      <c r="E505" t="s">
        <v>174</v>
      </c>
      <c r="F505">
        <v>650.1</v>
      </c>
      <c r="H505" s="9"/>
    </row>
    <row r="506" spans="1:8">
      <c r="A506" t="s">
        <v>529</v>
      </c>
      <c r="B506">
        <v>2024</v>
      </c>
      <c r="C506" s="9">
        <v>45448</v>
      </c>
      <c r="D506" t="s">
        <v>10</v>
      </c>
      <c r="E506" t="s">
        <v>174</v>
      </c>
      <c r="F506">
        <v>748</v>
      </c>
      <c r="H506" s="9"/>
    </row>
    <row r="507" spans="1:8">
      <c r="A507" t="s">
        <v>530</v>
      </c>
      <c r="B507">
        <v>2024</v>
      </c>
      <c r="C507" s="9">
        <v>45449</v>
      </c>
      <c r="D507" t="s">
        <v>13</v>
      </c>
      <c r="E507" t="s">
        <v>174</v>
      </c>
      <c r="F507">
        <v>612</v>
      </c>
      <c r="H507" s="9"/>
    </row>
    <row r="508" spans="1:8">
      <c r="A508" t="s">
        <v>531</v>
      </c>
      <c r="B508">
        <v>2024</v>
      </c>
      <c r="C508" s="9">
        <v>45450</v>
      </c>
      <c r="D508" t="s">
        <v>18</v>
      </c>
      <c r="E508" t="s">
        <v>174</v>
      </c>
      <c r="F508">
        <v>586</v>
      </c>
      <c r="H508" s="9"/>
    </row>
    <row r="509" spans="1:8">
      <c r="A509" t="s">
        <v>532</v>
      </c>
      <c r="B509">
        <v>2024</v>
      </c>
      <c r="C509" s="9">
        <v>45451</v>
      </c>
      <c r="D509" t="s">
        <v>20</v>
      </c>
      <c r="E509" t="s">
        <v>174</v>
      </c>
      <c r="F509">
        <v>354.5</v>
      </c>
      <c r="H509" s="9"/>
    </row>
    <row r="510" spans="1:8">
      <c r="A510" t="s">
        <v>533</v>
      </c>
      <c r="B510">
        <v>2024</v>
      </c>
      <c r="C510" s="9">
        <v>45452</v>
      </c>
      <c r="D510" t="s">
        <v>22</v>
      </c>
      <c r="E510" t="s">
        <v>174</v>
      </c>
      <c r="F510">
        <v>0</v>
      </c>
      <c r="H510" s="9"/>
    </row>
    <row r="511" spans="1:8">
      <c r="A511" t="s">
        <v>534</v>
      </c>
      <c r="B511">
        <v>2024</v>
      </c>
      <c r="C511" s="9">
        <v>45453</v>
      </c>
      <c r="D511" t="s">
        <v>24</v>
      </c>
      <c r="E511" t="s">
        <v>174</v>
      </c>
      <c r="F511">
        <v>0</v>
      </c>
      <c r="H511" s="9"/>
    </row>
    <row r="512" spans="1:8">
      <c r="A512" t="s">
        <v>535</v>
      </c>
      <c r="B512">
        <v>2024</v>
      </c>
      <c r="C512" s="9">
        <v>45454</v>
      </c>
      <c r="D512" t="s">
        <v>7</v>
      </c>
      <c r="E512" t="s">
        <v>174</v>
      </c>
      <c r="F512">
        <v>692</v>
      </c>
      <c r="H512" s="9"/>
    </row>
    <row r="513" spans="1:8">
      <c r="A513" t="s">
        <v>536</v>
      </c>
      <c r="B513">
        <v>2024</v>
      </c>
      <c r="C513" s="9">
        <v>45455</v>
      </c>
      <c r="D513" t="s">
        <v>10</v>
      </c>
      <c r="E513" t="s">
        <v>174</v>
      </c>
      <c r="F513">
        <v>714</v>
      </c>
      <c r="H513" s="9"/>
    </row>
    <row r="514" spans="1:8">
      <c r="A514" t="s">
        <v>537</v>
      </c>
      <c r="B514">
        <v>2024</v>
      </c>
      <c r="C514" s="9">
        <v>45456</v>
      </c>
      <c r="D514" t="s">
        <v>13</v>
      </c>
      <c r="E514" t="s">
        <v>174</v>
      </c>
      <c r="F514">
        <v>552</v>
      </c>
      <c r="H514" s="9"/>
    </row>
    <row r="515" spans="1:8">
      <c r="A515" t="s">
        <v>538</v>
      </c>
      <c r="B515">
        <v>2024</v>
      </c>
      <c r="C515" s="9">
        <v>45457</v>
      </c>
      <c r="D515" t="s">
        <v>18</v>
      </c>
      <c r="E515" t="s">
        <v>174</v>
      </c>
      <c r="F515">
        <v>691</v>
      </c>
      <c r="H515" s="9"/>
    </row>
    <row r="516" spans="1:8">
      <c r="A516" t="s">
        <v>539</v>
      </c>
      <c r="B516">
        <v>2024</v>
      </c>
      <c r="C516" s="9">
        <v>45458</v>
      </c>
      <c r="D516" t="s">
        <v>20</v>
      </c>
      <c r="E516" t="s">
        <v>174</v>
      </c>
      <c r="F516">
        <v>397</v>
      </c>
      <c r="H516" s="9"/>
    </row>
    <row r="517" spans="1:8">
      <c r="A517" t="s">
        <v>540</v>
      </c>
      <c r="B517">
        <v>2024</v>
      </c>
      <c r="C517" s="9">
        <v>45459</v>
      </c>
      <c r="D517" t="s">
        <v>22</v>
      </c>
      <c r="E517" t="s">
        <v>174</v>
      </c>
      <c r="F517">
        <v>0</v>
      </c>
      <c r="H517" s="9"/>
    </row>
    <row r="518" spans="1:8">
      <c r="A518" t="s">
        <v>541</v>
      </c>
      <c r="B518">
        <v>2024</v>
      </c>
      <c r="C518" s="9">
        <v>45460</v>
      </c>
      <c r="D518" t="s">
        <v>24</v>
      </c>
      <c r="E518" t="s">
        <v>174</v>
      </c>
      <c r="F518">
        <v>0</v>
      </c>
      <c r="H518" s="9"/>
    </row>
    <row r="519" spans="1:8">
      <c r="A519" t="s">
        <v>542</v>
      </c>
      <c r="B519">
        <v>2024</v>
      </c>
      <c r="C519" s="9">
        <v>45461</v>
      </c>
      <c r="D519" t="s">
        <v>7</v>
      </c>
      <c r="E519" t="s">
        <v>174</v>
      </c>
      <c r="F519">
        <v>594</v>
      </c>
      <c r="H519" s="9"/>
    </row>
    <row r="520" spans="1:8">
      <c r="A520" t="s">
        <v>543</v>
      </c>
      <c r="B520">
        <v>2024</v>
      </c>
      <c r="C520" s="9">
        <v>45462</v>
      </c>
      <c r="D520" t="s">
        <v>10</v>
      </c>
      <c r="E520" t="s">
        <v>174</v>
      </c>
      <c r="F520">
        <v>1136</v>
      </c>
      <c r="H520" s="9"/>
    </row>
    <row r="521" spans="1:8">
      <c r="A521" t="s">
        <v>544</v>
      </c>
      <c r="B521">
        <v>2024</v>
      </c>
      <c r="C521" s="9">
        <v>45463</v>
      </c>
      <c r="D521" t="s">
        <v>13</v>
      </c>
      <c r="E521" t="s">
        <v>174</v>
      </c>
      <c r="F521">
        <v>565</v>
      </c>
      <c r="H521" s="9"/>
    </row>
    <row r="522" spans="1:8">
      <c r="A522" t="s">
        <v>545</v>
      </c>
      <c r="B522">
        <v>2024</v>
      </c>
      <c r="C522" s="9">
        <v>45464</v>
      </c>
      <c r="D522" t="s">
        <v>18</v>
      </c>
      <c r="E522" t="s">
        <v>174</v>
      </c>
      <c r="F522">
        <v>529</v>
      </c>
      <c r="H522" s="9"/>
    </row>
    <row r="523" spans="1:8">
      <c r="A523" t="s">
        <v>546</v>
      </c>
      <c r="B523">
        <v>2024</v>
      </c>
      <c r="C523" s="9">
        <v>45465</v>
      </c>
      <c r="D523" t="s">
        <v>20</v>
      </c>
      <c r="E523" t="s">
        <v>174</v>
      </c>
      <c r="F523">
        <v>292</v>
      </c>
      <c r="H523" s="9"/>
    </row>
    <row r="524" spans="1:8">
      <c r="A524" t="s">
        <v>547</v>
      </c>
      <c r="B524">
        <v>2024</v>
      </c>
      <c r="C524" s="9">
        <v>45466</v>
      </c>
      <c r="D524" t="s">
        <v>22</v>
      </c>
      <c r="E524" t="s">
        <v>174</v>
      </c>
      <c r="F524">
        <v>0</v>
      </c>
      <c r="H524" s="9"/>
    </row>
    <row r="525" spans="1:8">
      <c r="A525" t="s">
        <v>548</v>
      </c>
      <c r="B525">
        <v>2024</v>
      </c>
      <c r="C525" s="9">
        <v>45467</v>
      </c>
      <c r="D525" t="s">
        <v>24</v>
      </c>
      <c r="E525" t="s">
        <v>174</v>
      </c>
      <c r="F525">
        <v>0</v>
      </c>
      <c r="H525" s="9"/>
    </row>
    <row r="526" spans="1:8">
      <c r="A526" t="s">
        <v>549</v>
      </c>
      <c r="B526">
        <v>2024</v>
      </c>
      <c r="C526" s="9">
        <v>45468</v>
      </c>
      <c r="D526" t="s">
        <v>7</v>
      </c>
      <c r="E526" t="s">
        <v>174</v>
      </c>
      <c r="F526">
        <v>465</v>
      </c>
      <c r="H526" s="9"/>
    </row>
    <row r="527" spans="1:8">
      <c r="A527" t="s">
        <v>550</v>
      </c>
      <c r="B527">
        <v>2024</v>
      </c>
      <c r="C527" s="9">
        <v>45469</v>
      </c>
      <c r="D527" t="s">
        <v>10</v>
      </c>
      <c r="E527" t="s">
        <v>174</v>
      </c>
      <c r="F527">
        <v>1036</v>
      </c>
      <c r="H527" s="9"/>
    </row>
    <row r="528" spans="1:8">
      <c r="A528" t="s">
        <v>551</v>
      </c>
      <c r="B528">
        <v>2024</v>
      </c>
      <c r="C528" s="9">
        <v>45470</v>
      </c>
      <c r="D528" t="s">
        <v>13</v>
      </c>
      <c r="E528" t="s">
        <v>174</v>
      </c>
      <c r="F528">
        <v>510</v>
      </c>
      <c r="H528" s="9"/>
    </row>
    <row r="529" spans="1:8">
      <c r="A529" t="s">
        <v>552</v>
      </c>
      <c r="B529">
        <v>2024</v>
      </c>
      <c r="C529" s="9">
        <v>45471</v>
      </c>
      <c r="D529" t="s">
        <v>18</v>
      </c>
      <c r="E529" t="s">
        <v>174</v>
      </c>
      <c r="F529">
        <v>656</v>
      </c>
      <c r="H529" s="9"/>
    </row>
    <row r="530" spans="1:8">
      <c r="A530" t="s">
        <v>553</v>
      </c>
      <c r="B530">
        <v>2024</v>
      </c>
      <c r="C530" s="9">
        <v>45472</v>
      </c>
      <c r="D530" t="s">
        <v>20</v>
      </c>
      <c r="E530" t="s">
        <v>174</v>
      </c>
      <c r="F530">
        <v>137</v>
      </c>
      <c r="H530" s="9"/>
    </row>
    <row r="531" spans="1:8">
      <c r="A531" t="s">
        <v>554</v>
      </c>
      <c r="B531">
        <v>2024</v>
      </c>
      <c r="C531" s="9">
        <v>45473</v>
      </c>
      <c r="D531" t="s">
        <v>22</v>
      </c>
      <c r="E531" t="s">
        <v>174</v>
      </c>
      <c r="F531">
        <v>0</v>
      </c>
      <c r="H531" s="9"/>
    </row>
    <row r="532" spans="1:8">
      <c r="A532" t="s">
        <v>555</v>
      </c>
      <c r="B532">
        <v>2024</v>
      </c>
      <c r="C532" s="9">
        <v>45474</v>
      </c>
      <c r="D532" t="s">
        <v>24</v>
      </c>
      <c r="E532" t="s">
        <v>8</v>
      </c>
      <c r="H532" s="9"/>
    </row>
    <row r="533" spans="1:8">
      <c r="A533" t="s">
        <v>556</v>
      </c>
      <c r="B533">
        <v>2024</v>
      </c>
      <c r="C533" s="9">
        <v>45477</v>
      </c>
      <c r="D533" t="s">
        <v>13</v>
      </c>
      <c r="E533" t="s">
        <v>8</v>
      </c>
      <c r="F533">
        <v>681</v>
      </c>
      <c r="H533" s="9"/>
    </row>
    <row r="534" spans="1:8">
      <c r="A534" t="s">
        <v>557</v>
      </c>
      <c r="B534">
        <v>2024</v>
      </c>
      <c r="C534" s="9">
        <v>45478</v>
      </c>
      <c r="D534" t="s">
        <v>18</v>
      </c>
      <c r="E534" t="s">
        <v>8</v>
      </c>
      <c r="F534">
        <v>849.8</v>
      </c>
      <c r="H534" s="9"/>
    </row>
    <row r="535" spans="1:8">
      <c r="A535" t="s">
        <v>558</v>
      </c>
      <c r="B535">
        <v>2024</v>
      </c>
      <c r="C535" s="9">
        <v>45479</v>
      </c>
      <c r="D535" t="s">
        <v>20</v>
      </c>
      <c r="E535" t="s">
        <v>8</v>
      </c>
      <c r="F535">
        <v>311</v>
      </c>
      <c r="H535" s="9"/>
    </row>
    <row r="536" spans="1:8">
      <c r="A536" t="s">
        <v>559</v>
      </c>
      <c r="B536">
        <v>2024</v>
      </c>
      <c r="C536" s="9">
        <v>45480</v>
      </c>
      <c r="D536" t="s">
        <v>22</v>
      </c>
      <c r="E536" t="s">
        <v>8</v>
      </c>
      <c r="F536">
        <v>0</v>
      </c>
      <c r="H536" s="9"/>
    </row>
    <row r="537" spans="1:8">
      <c r="A537" t="s">
        <v>560</v>
      </c>
      <c r="B537">
        <v>2024</v>
      </c>
      <c r="C537" s="9">
        <v>45481</v>
      </c>
      <c r="D537" t="s">
        <v>24</v>
      </c>
      <c r="E537" t="s">
        <v>8</v>
      </c>
      <c r="F537">
        <v>0</v>
      </c>
      <c r="H537" s="9"/>
    </row>
    <row r="538" spans="1:8">
      <c r="A538" t="s">
        <v>561</v>
      </c>
      <c r="B538">
        <v>2024</v>
      </c>
      <c r="C538" s="9">
        <v>45482</v>
      </c>
      <c r="D538" t="s">
        <v>7</v>
      </c>
      <c r="E538" t="s">
        <v>8</v>
      </c>
      <c r="F538">
        <v>743</v>
      </c>
      <c r="H538" s="9"/>
    </row>
    <row r="539" spans="1:8">
      <c r="A539" t="s">
        <v>562</v>
      </c>
      <c r="B539">
        <v>2024</v>
      </c>
      <c r="C539" s="9">
        <v>45483</v>
      </c>
      <c r="D539" t="s">
        <v>10</v>
      </c>
      <c r="E539" t="s">
        <v>8</v>
      </c>
      <c r="F539">
        <v>629</v>
      </c>
      <c r="H539" s="9"/>
    </row>
    <row r="540" spans="1:8">
      <c r="A540" t="s">
        <v>563</v>
      </c>
      <c r="B540">
        <v>2024</v>
      </c>
      <c r="C540" s="9">
        <v>45484</v>
      </c>
      <c r="D540" t="s">
        <v>13</v>
      </c>
      <c r="E540" t="s">
        <v>8</v>
      </c>
      <c r="F540">
        <v>600</v>
      </c>
      <c r="H540" s="9"/>
    </row>
    <row r="541" spans="1:8">
      <c r="A541" t="s">
        <v>564</v>
      </c>
      <c r="B541">
        <v>2024</v>
      </c>
      <c r="C541" s="9">
        <v>45485</v>
      </c>
      <c r="D541" t="s">
        <v>18</v>
      </c>
      <c r="E541" t="s">
        <v>8</v>
      </c>
      <c r="F541">
        <v>632</v>
      </c>
      <c r="H541" s="9"/>
    </row>
    <row r="542" spans="1:8">
      <c r="A542" t="s">
        <v>565</v>
      </c>
      <c r="B542">
        <v>2024</v>
      </c>
      <c r="C542" s="9">
        <v>45486</v>
      </c>
      <c r="D542" t="s">
        <v>20</v>
      </c>
      <c r="E542" t="s">
        <v>8</v>
      </c>
      <c r="F542">
        <v>272</v>
      </c>
      <c r="H542" s="9"/>
    </row>
    <row r="543" spans="1:8">
      <c r="A543" t="s">
        <v>566</v>
      </c>
      <c r="B543">
        <v>2024</v>
      </c>
      <c r="C543" s="9">
        <v>45487</v>
      </c>
      <c r="D543" t="s">
        <v>22</v>
      </c>
      <c r="E543" t="s">
        <v>8</v>
      </c>
      <c r="F543">
        <v>0</v>
      </c>
      <c r="H543" s="9"/>
    </row>
    <row r="544" spans="1:8">
      <c r="A544" t="s">
        <v>567</v>
      </c>
      <c r="B544">
        <v>2024</v>
      </c>
      <c r="C544" s="9">
        <v>45488</v>
      </c>
      <c r="D544" t="s">
        <v>24</v>
      </c>
      <c r="E544" t="s">
        <v>8</v>
      </c>
      <c r="F544">
        <v>0</v>
      </c>
      <c r="H544" s="9"/>
    </row>
    <row r="545" spans="1:8">
      <c r="A545" t="s">
        <v>568</v>
      </c>
      <c r="B545">
        <v>2024</v>
      </c>
      <c r="C545" s="9">
        <v>45489</v>
      </c>
      <c r="D545" t="s">
        <v>7</v>
      </c>
      <c r="E545" t="s">
        <v>8</v>
      </c>
      <c r="F545">
        <v>369.2</v>
      </c>
      <c r="H545" s="9"/>
    </row>
    <row r="546" spans="1:8">
      <c r="A546" t="s">
        <v>569</v>
      </c>
      <c r="B546">
        <v>2024</v>
      </c>
      <c r="C546" s="9">
        <v>45490</v>
      </c>
      <c r="D546" t="s">
        <v>10</v>
      </c>
      <c r="E546" t="s">
        <v>8</v>
      </c>
      <c r="F546">
        <v>343</v>
      </c>
      <c r="H546" s="9"/>
    </row>
    <row r="547" spans="1:8">
      <c r="A547" t="s">
        <v>570</v>
      </c>
      <c r="B547">
        <v>2024</v>
      </c>
      <c r="C547" s="9">
        <v>45491</v>
      </c>
      <c r="D547" t="s">
        <v>13</v>
      </c>
      <c r="E547" t="s">
        <v>8</v>
      </c>
      <c r="F547">
        <v>411</v>
      </c>
      <c r="H547" s="9"/>
    </row>
    <row r="548" spans="1:8">
      <c r="A548" t="s">
        <v>571</v>
      </c>
      <c r="B548">
        <v>2024</v>
      </c>
      <c r="C548" s="9">
        <v>45492</v>
      </c>
      <c r="D548" t="s">
        <v>18</v>
      </c>
      <c r="E548" t="s">
        <v>8</v>
      </c>
      <c r="F548">
        <v>368</v>
      </c>
      <c r="H548" s="9"/>
    </row>
    <row r="549" spans="1:8">
      <c r="A549" t="s">
        <v>572</v>
      </c>
      <c r="B549">
        <v>2024</v>
      </c>
      <c r="C549" s="9">
        <v>45493</v>
      </c>
      <c r="D549" t="s">
        <v>20</v>
      </c>
      <c r="E549" t="s">
        <v>8</v>
      </c>
      <c r="F549">
        <v>93</v>
      </c>
      <c r="H549" s="9"/>
    </row>
    <row r="550" spans="1:8">
      <c r="A550" t="s">
        <v>573</v>
      </c>
      <c r="B550">
        <v>2024</v>
      </c>
      <c r="C550" s="9">
        <v>45494</v>
      </c>
      <c r="D550" t="s">
        <v>22</v>
      </c>
      <c r="E550" t="s">
        <v>8</v>
      </c>
      <c r="F550">
        <v>0</v>
      </c>
      <c r="H550" s="9"/>
    </row>
    <row r="551" spans="1:8">
      <c r="A551" t="s">
        <v>574</v>
      </c>
      <c r="B551">
        <v>2024</v>
      </c>
      <c r="C551" s="9">
        <v>45495</v>
      </c>
      <c r="D551" t="s">
        <v>24</v>
      </c>
      <c r="E551" t="s">
        <v>8</v>
      </c>
      <c r="F551">
        <v>0</v>
      </c>
      <c r="H551" s="9"/>
    </row>
    <row r="552" spans="1:8">
      <c r="A552" t="s">
        <v>575</v>
      </c>
      <c r="B552">
        <v>2024</v>
      </c>
      <c r="C552" s="9">
        <v>45496</v>
      </c>
      <c r="D552" t="s">
        <v>7</v>
      </c>
      <c r="E552" t="s">
        <v>8</v>
      </c>
      <c r="F552">
        <v>427</v>
      </c>
      <c r="H552" s="9"/>
    </row>
    <row r="553" spans="1:8">
      <c r="A553" t="s">
        <v>576</v>
      </c>
      <c r="B553">
        <v>2024</v>
      </c>
      <c r="C553" s="9">
        <v>45497</v>
      </c>
      <c r="D553" t="s">
        <v>10</v>
      </c>
      <c r="E553" t="s">
        <v>8</v>
      </c>
      <c r="F553">
        <v>508</v>
      </c>
      <c r="H553" s="9"/>
    </row>
    <row r="554" spans="1:8">
      <c r="A554" t="s">
        <v>577</v>
      </c>
      <c r="B554">
        <v>2024</v>
      </c>
      <c r="C554" s="9">
        <v>45498</v>
      </c>
      <c r="D554" t="s">
        <v>13</v>
      </c>
      <c r="E554" t="s">
        <v>8</v>
      </c>
      <c r="F554">
        <v>633</v>
      </c>
      <c r="H554" s="9"/>
    </row>
    <row r="555" spans="1:8">
      <c r="A555" t="s">
        <v>578</v>
      </c>
      <c r="B555">
        <v>2024</v>
      </c>
      <c r="C555" s="9">
        <v>45499</v>
      </c>
      <c r="D555" t="s">
        <v>18</v>
      </c>
      <c r="E555" t="s">
        <v>8</v>
      </c>
      <c r="F555">
        <v>524</v>
      </c>
      <c r="H555" s="9"/>
    </row>
    <row r="556" spans="1:8">
      <c r="A556" t="s">
        <v>579</v>
      </c>
      <c r="B556">
        <v>2024</v>
      </c>
      <c r="C556" s="9">
        <v>45500</v>
      </c>
      <c r="D556" t="s">
        <v>20</v>
      </c>
      <c r="E556" t="s">
        <v>8</v>
      </c>
      <c r="F556">
        <v>379</v>
      </c>
      <c r="H556" s="9"/>
    </row>
    <row r="557" spans="1:8">
      <c r="A557" t="s">
        <v>580</v>
      </c>
      <c r="B557">
        <v>2024</v>
      </c>
      <c r="C557" s="9">
        <v>45501</v>
      </c>
      <c r="D557" t="s">
        <v>22</v>
      </c>
      <c r="E557" t="s">
        <v>8</v>
      </c>
      <c r="F557">
        <v>0</v>
      </c>
      <c r="H557" s="9"/>
    </row>
    <row r="558" spans="1:8">
      <c r="A558" t="s">
        <v>581</v>
      </c>
      <c r="B558">
        <v>2024</v>
      </c>
      <c r="C558" s="9">
        <v>45502</v>
      </c>
      <c r="D558" t="s">
        <v>24</v>
      </c>
      <c r="E558" t="s">
        <v>8</v>
      </c>
      <c r="F558">
        <v>0</v>
      </c>
      <c r="H558" s="9"/>
    </row>
    <row r="559" spans="1:8">
      <c r="A559" t="s">
        <v>582</v>
      </c>
      <c r="B559">
        <v>2024</v>
      </c>
      <c r="C559" s="9">
        <v>45503</v>
      </c>
      <c r="D559" t="s">
        <v>7</v>
      </c>
      <c r="E559" t="s">
        <v>8</v>
      </c>
      <c r="F559">
        <v>249</v>
      </c>
      <c r="H559" s="9"/>
    </row>
    <row r="560" spans="1:8">
      <c r="A560" t="s">
        <v>583</v>
      </c>
      <c r="B560">
        <v>2024</v>
      </c>
      <c r="C560" s="9">
        <v>45504</v>
      </c>
      <c r="D560" t="s">
        <v>10</v>
      </c>
      <c r="E560" t="s">
        <v>8</v>
      </c>
      <c r="F560">
        <v>462</v>
      </c>
      <c r="H560" s="9"/>
    </row>
    <row r="561" spans="1:8">
      <c r="A561" t="s">
        <v>584</v>
      </c>
      <c r="B561">
        <v>2024</v>
      </c>
      <c r="C561" s="9">
        <v>45505</v>
      </c>
      <c r="D561" t="s">
        <v>13</v>
      </c>
      <c r="E561" t="s">
        <v>234</v>
      </c>
      <c r="F561">
        <v>578</v>
      </c>
      <c r="H561" s="9"/>
    </row>
    <row r="562" spans="1:8">
      <c r="A562" t="s">
        <v>585</v>
      </c>
      <c r="B562">
        <v>2024</v>
      </c>
      <c r="C562" s="9">
        <v>45506</v>
      </c>
      <c r="D562" t="s">
        <v>18</v>
      </c>
      <c r="E562" t="s">
        <v>234</v>
      </c>
      <c r="F562">
        <v>659</v>
      </c>
      <c r="H562" s="9"/>
    </row>
    <row r="563" spans="1:8">
      <c r="A563" t="s">
        <v>586</v>
      </c>
      <c r="B563">
        <v>2024</v>
      </c>
      <c r="C563" s="9">
        <v>45507</v>
      </c>
      <c r="D563" t="s">
        <v>20</v>
      </c>
      <c r="E563" t="s">
        <v>234</v>
      </c>
      <c r="F563">
        <v>474</v>
      </c>
      <c r="H563" s="9"/>
    </row>
    <row r="564" spans="1:8">
      <c r="A564" t="s">
        <v>587</v>
      </c>
      <c r="B564">
        <v>2024</v>
      </c>
      <c r="C564" s="9">
        <v>45508</v>
      </c>
      <c r="D564" t="s">
        <v>22</v>
      </c>
      <c r="E564" t="s">
        <v>234</v>
      </c>
      <c r="F564">
        <v>0</v>
      </c>
      <c r="H564" s="9"/>
    </row>
    <row r="565" spans="1:8">
      <c r="A565" t="s">
        <v>588</v>
      </c>
      <c r="B565">
        <v>2024</v>
      </c>
      <c r="C565" s="9">
        <v>45509</v>
      </c>
      <c r="D565" t="s">
        <v>24</v>
      </c>
      <c r="E565" t="s">
        <v>234</v>
      </c>
      <c r="F565">
        <v>0</v>
      </c>
      <c r="H565" s="9"/>
    </row>
    <row r="566" spans="1:8">
      <c r="A566" t="s">
        <v>589</v>
      </c>
      <c r="B566">
        <v>2024</v>
      </c>
      <c r="C566" s="9">
        <v>45510</v>
      </c>
      <c r="D566" t="s">
        <v>7</v>
      </c>
      <c r="E566" t="s">
        <v>234</v>
      </c>
      <c r="F566">
        <v>856</v>
      </c>
      <c r="H566" s="9"/>
    </row>
    <row r="567" spans="1:8">
      <c r="A567" t="s">
        <v>590</v>
      </c>
      <c r="B567">
        <v>2024</v>
      </c>
      <c r="C567" s="9">
        <v>45511</v>
      </c>
      <c r="D567" t="s">
        <v>10</v>
      </c>
      <c r="E567" t="s">
        <v>234</v>
      </c>
      <c r="F567">
        <v>573</v>
      </c>
      <c r="H567" s="9"/>
    </row>
    <row r="568" spans="1:8">
      <c r="A568" t="s">
        <v>591</v>
      </c>
      <c r="B568">
        <v>2024</v>
      </c>
      <c r="C568" s="9">
        <v>45512</v>
      </c>
      <c r="D568" t="s">
        <v>13</v>
      </c>
      <c r="E568" t="s">
        <v>234</v>
      </c>
      <c r="F568">
        <v>681</v>
      </c>
      <c r="H568" s="9"/>
    </row>
    <row r="569" spans="1:8">
      <c r="A569" t="s">
        <v>592</v>
      </c>
      <c r="B569">
        <v>2024</v>
      </c>
      <c r="C569" s="9">
        <v>45513</v>
      </c>
      <c r="D569" t="s">
        <v>18</v>
      </c>
      <c r="E569" t="s">
        <v>234</v>
      </c>
      <c r="F569">
        <v>651</v>
      </c>
      <c r="H569" s="9"/>
    </row>
    <row r="570" spans="1:8">
      <c r="A570" t="s">
        <v>593</v>
      </c>
      <c r="B570">
        <v>2024</v>
      </c>
      <c r="C570" s="9">
        <v>45514</v>
      </c>
      <c r="D570" t="s">
        <v>20</v>
      </c>
      <c r="E570" t="s">
        <v>234</v>
      </c>
      <c r="F570">
        <v>543</v>
      </c>
      <c r="H570" s="9"/>
    </row>
    <row r="571" spans="1:8">
      <c r="A571" t="s">
        <v>594</v>
      </c>
      <c r="B571">
        <v>2024</v>
      </c>
      <c r="C571" s="9">
        <v>45515</v>
      </c>
      <c r="D571" t="s">
        <v>22</v>
      </c>
      <c r="E571" t="s">
        <v>234</v>
      </c>
      <c r="F571">
        <v>0</v>
      </c>
      <c r="H571" s="9"/>
    </row>
    <row r="572" spans="1:8">
      <c r="A572" t="s">
        <v>595</v>
      </c>
      <c r="B572">
        <v>2024</v>
      </c>
      <c r="C572" s="9">
        <v>45516</v>
      </c>
      <c r="D572" t="s">
        <v>24</v>
      </c>
      <c r="E572" t="s">
        <v>234</v>
      </c>
      <c r="F572">
        <v>0</v>
      </c>
      <c r="H572" s="9"/>
    </row>
    <row r="573" spans="1:8">
      <c r="A573" t="s">
        <v>596</v>
      </c>
      <c r="B573">
        <v>2024</v>
      </c>
      <c r="C573" s="9">
        <v>45517</v>
      </c>
      <c r="D573" t="s">
        <v>7</v>
      </c>
      <c r="E573" t="s">
        <v>234</v>
      </c>
      <c r="F573">
        <v>863</v>
      </c>
      <c r="H573" s="9"/>
    </row>
    <row r="574" spans="1:8">
      <c r="A574" t="s">
        <v>597</v>
      </c>
      <c r="B574">
        <v>2024</v>
      </c>
      <c r="C574" s="9">
        <v>45518</v>
      </c>
      <c r="D574" t="s">
        <v>10</v>
      </c>
      <c r="E574" t="s">
        <v>234</v>
      </c>
      <c r="F574">
        <v>833.5</v>
      </c>
      <c r="H574" s="9"/>
    </row>
    <row r="575" spans="1:8">
      <c r="A575" t="s">
        <v>598</v>
      </c>
      <c r="B575">
        <v>2024</v>
      </c>
      <c r="C575" s="9">
        <v>45519</v>
      </c>
      <c r="D575" t="s">
        <v>13</v>
      </c>
      <c r="E575" t="s">
        <v>234</v>
      </c>
      <c r="F575">
        <v>0</v>
      </c>
      <c r="H575" s="9"/>
    </row>
    <row r="576" spans="1:8">
      <c r="A576" t="s">
        <v>599</v>
      </c>
      <c r="B576">
        <v>2024</v>
      </c>
      <c r="C576" s="9">
        <v>45520</v>
      </c>
      <c r="D576" t="s">
        <v>18</v>
      </c>
      <c r="E576" t="s">
        <v>234</v>
      </c>
      <c r="F576">
        <v>347</v>
      </c>
      <c r="H576" s="9"/>
    </row>
    <row r="577" spans="1:8">
      <c r="A577" t="s">
        <v>600</v>
      </c>
      <c r="B577">
        <v>2024</v>
      </c>
      <c r="C577" s="9">
        <v>45521</v>
      </c>
      <c r="D577" t="s">
        <v>20</v>
      </c>
      <c r="E577" t="s">
        <v>234</v>
      </c>
      <c r="F577">
        <v>332</v>
      </c>
      <c r="H577" s="9"/>
    </row>
    <row r="578" spans="1:8">
      <c r="A578" t="s">
        <v>601</v>
      </c>
      <c r="B578">
        <v>2024</v>
      </c>
      <c r="C578" s="9">
        <v>45522</v>
      </c>
      <c r="D578" t="s">
        <v>22</v>
      </c>
      <c r="E578" t="s">
        <v>234</v>
      </c>
      <c r="F578">
        <v>0</v>
      </c>
      <c r="H578" s="9"/>
    </row>
    <row r="579" spans="1:8">
      <c r="A579" t="s">
        <v>602</v>
      </c>
      <c r="B579">
        <v>2024</v>
      </c>
      <c r="C579" s="9">
        <v>45523</v>
      </c>
      <c r="D579" t="s">
        <v>24</v>
      </c>
      <c r="E579" t="s">
        <v>234</v>
      </c>
      <c r="F579">
        <v>0</v>
      </c>
      <c r="H579" s="9"/>
    </row>
    <row r="580" spans="1:8">
      <c r="A580" t="s">
        <v>603</v>
      </c>
      <c r="B580">
        <v>2024</v>
      </c>
      <c r="C580" s="9">
        <v>45524</v>
      </c>
      <c r="D580" t="s">
        <v>7</v>
      </c>
      <c r="E580" t="s">
        <v>234</v>
      </c>
      <c r="F580">
        <v>586</v>
      </c>
      <c r="H580" s="9"/>
    </row>
    <row r="581" spans="1:8">
      <c r="A581" t="s">
        <v>604</v>
      </c>
      <c r="B581">
        <v>2024</v>
      </c>
      <c r="C581" s="9">
        <v>45525</v>
      </c>
      <c r="D581" t="s">
        <v>10</v>
      </c>
      <c r="E581" t="s">
        <v>234</v>
      </c>
      <c r="F581">
        <v>760</v>
      </c>
      <c r="H581" s="9"/>
    </row>
    <row r="582" spans="1:8">
      <c r="A582" t="s">
        <v>605</v>
      </c>
      <c r="B582">
        <v>2024</v>
      </c>
      <c r="C582" s="9">
        <v>45526</v>
      </c>
      <c r="D582" t="s">
        <v>13</v>
      </c>
      <c r="E582" t="s">
        <v>234</v>
      </c>
      <c r="F582">
        <v>616</v>
      </c>
      <c r="H582" s="9"/>
    </row>
    <row r="583" spans="1:8">
      <c r="A583" t="s">
        <v>606</v>
      </c>
      <c r="B583">
        <v>2024</v>
      </c>
      <c r="C583" s="9">
        <v>45527</v>
      </c>
      <c r="D583" t="s">
        <v>18</v>
      </c>
      <c r="E583" t="s">
        <v>234</v>
      </c>
      <c r="F583">
        <v>584</v>
      </c>
      <c r="H583" s="9"/>
    </row>
    <row r="584" spans="1:8">
      <c r="A584" t="s">
        <v>607</v>
      </c>
      <c r="B584">
        <v>2024</v>
      </c>
      <c r="C584" s="9">
        <v>45528</v>
      </c>
      <c r="D584" t="s">
        <v>20</v>
      </c>
      <c r="E584" t="s">
        <v>234</v>
      </c>
      <c r="F584">
        <v>20</v>
      </c>
      <c r="H584" s="9"/>
    </row>
    <row r="585" spans="1:8">
      <c r="A585" t="s">
        <v>608</v>
      </c>
      <c r="B585">
        <v>2024</v>
      </c>
      <c r="C585" s="9">
        <v>45529</v>
      </c>
      <c r="D585" t="s">
        <v>22</v>
      </c>
      <c r="E585" t="s">
        <v>234</v>
      </c>
      <c r="F585">
        <v>0</v>
      </c>
      <c r="H585" s="9"/>
    </row>
    <row r="586" spans="1:8">
      <c r="A586" t="s">
        <v>609</v>
      </c>
      <c r="B586">
        <v>2024</v>
      </c>
      <c r="C586" s="9">
        <v>45530</v>
      </c>
      <c r="D586" t="s">
        <v>24</v>
      </c>
      <c r="E586" t="s">
        <v>234</v>
      </c>
      <c r="F586">
        <v>0</v>
      </c>
      <c r="H586" s="9"/>
    </row>
    <row r="587" spans="1:8">
      <c r="A587" t="s">
        <v>610</v>
      </c>
      <c r="B587">
        <v>2024</v>
      </c>
      <c r="C587" s="9">
        <v>45531</v>
      </c>
      <c r="D587" t="s">
        <v>7</v>
      </c>
      <c r="E587" t="s">
        <v>234</v>
      </c>
      <c r="F587">
        <v>586</v>
      </c>
      <c r="H587" s="9"/>
    </row>
    <row r="588" spans="1:8">
      <c r="A588" t="s">
        <v>611</v>
      </c>
      <c r="B588">
        <v>2024</v>
      </c>
      <c r="C588" s="9">
        <v>45532</v>
      </c>
      <c r="D588" t="s">
        <v>10</v>
      </c>
      <c r="E588" t="s">
        <v>234</v>
      </c>
      <c r="F588">
        <v>534</v>
      </c>
      <c r="H588" s="9"/>
    </row>
    <row r="589" spans="1:8">
      <c r="A589" t="s">
        <v>612</v>
      </c>
      <c r="B589">
        <v>2024</v>
      </c>
      <c r="C589" s="9">
        <v>45533</v>
      </c>
      <c r="D589" t="s">
        <v>13</v>
      </c>
      <c r="E589" t="s">
        <v>234</v>
      </c>
      <c r="F589">
        <v>740</v>
      </c>
      <c r="H589" s="9"/>
    </row>
    <row r="590" spans="1:8">
      <c r="A590" t="s">
        <v>613</v>
      </c>
      <c r="B590">
        <v>2024</v>
      </c>
      <c r="C590" s="9">
        <v>45534</v>
      </c>
      <c r="D590" t="s">
        <v>18</v>
      </c>
      <c r="E590" t="s">
        <v>234</v>
      </c>
      <c r="F590">
        <v>564</v>
      </c>
      <c r="H590" s="9"/>
    </row>
    <row r="591" spans="1:8">
      <c r="A591" t="s">
        <v>614</v>
      </c>
      <c r="B591">
        <v>2024</v>
      </c>
      <c r="C591" s="9">
        <v>45535</v>
      </c>
      <c r="D591" t="s">
        <v>20</v>
      </c>
      <c r="E591" t="s">
        <v>234</v>
      </c>
      <c r="F591">
        <v>335</v>
      </c>
      <c r="H591" s="9"/>
    </row>
    <row r="592" spans="1:8">
      <c r="A592" t="s">
        <v>615</v>
      </c>
      <c r="B592">
        <v>2024</v>
      </c>
      <c r="C592" s="9">
        <v>45536</v>
      </c>
      <c r="D592" t="s">
        <v>22</v>
      </c>
      <c r="E592" t="s">
        <v>265</v>
      </c>
      <c r="F592">
        <v>0</v>
      </c>
      <c r="H592" s="9"/>
    </row>
    <row r="593" spans="1:8">
      <c r="A593" t="s">
        <v>616</v>
      </c>
      <c r="B593">
        <v>2024</v>
      </c>
      <c r="C593" s="9">
        <v>45537</v>
      </c>
      <c r="D593" t="s">
        <v>24</v>
      </c>
      <c r="E593" t="s">
        <v>265</v>
      </c>
      <c r="F593">
        <v>0</v>
      </c>
      <c r="H593" s="9"/>
    </row>
    <row r="594" spans="1:8">
      <c r="A594" t="s">
        <v>617</v>
      </c>
      <c r="B594">
        <v>2024</v>
      </c>
      <c r="C594" s="9">
        <v>45538</v>
      </c>
      <c r="D594" t="s">
        <v>7</v>
      </c>
      <c r="E594" t="s">
        <v>265</v>
      </c>
      <c r="F594">
        <v>753</v>
      </c>
      <c r="H594" s="9"/>
    </row>
    <row r="595" spans="1:8">
      <c r="A595" t="s">
        <v>618</v>
      </c>
      <c r="B595">
        <v>2024</v>
      </c>
      <c r="C595" s="9">
        <v>45539</v>
      </c>
      <c r="D595" t="s">
        <v>10</v>
      </c>
      <c r="E595" t="s">
        <v>265</v>
      </c>
      <c r="F595">
        <v>979</v>
      </c>
      <c r="H595" s="9"/>
    </row>
    <row r="596" spans="1:8">
      <c r="A596" t="s">
        <v>619</v>
      </c>
      <c r="B596">
        <v>2024</v>
      </c>
      <c r="C596" s="9">
        <v>45540</v>
      </c>
      <c r="D596" t="s">
        <v>13</v>
      </c>
      <c r="E596" t="s">
        <v>265</v>
      </c>
      <c r="F596">
        <v>890.8</v>
      </c>
      <c r="H596" s="9"/>
    </row>
    <row r="597" spans="1:8">
      <c r="A597" t="s">
        <v>620</v>
      </c>
      <c r="B597">
        <v>2024</v>
      </c>
      <c r="C597" s="9">
        <v>45541</v>
      </c>
      <c r="D597" t="s">
        <v>18</v>
      </c>
      <c r="E597" t="s">
        <v>265</v>
      </c>
      <c r="F597">
        <v>753</v>
      </c>
      <c r="H597" s="9"/>
    </row>
    <row r="598" spans="1:8">
      <c r="A598" t="s">
        <v>621</v>
      </c>
      <c r="B598">
        <v>2024</v>
      </c>
      <c r="C598" s="9">
        <v>45542</v>
      </c>
      <c r="D598" t="s">
        <v>20</v>
      </c>
      <c r="E598" t="s">
        <v>265</v>
      </c>
      <c r="F598">
        <v>276</v>
      </c>
      <c r="H598" s="9"/>
    </row>
    <row r="599" spans="1:8">
      <c r="A599" t="s">
        <v>622</v>
      </c>
      <c r="B599">
        <v>2024</v>
      </c>
      <c r="C599" s="9">
        <v>45543</v>
      </c>
      <c r="D599" t="s">
        <v>22</v>
      </c>
      <c r="E599" t="s">
        <v>265</v>
      </c>
      <c r="F599">
        <v>0</v>
      </c>
      <c r="H599" s="9"/>
    </row>
    <row r="600" spans="1:8">
      <c r="A600" t="s">
        <v>623</v>
      </c>
      <c r="B600">
        <v>2024</v>
      </c>
      <c r="C600" s="9">
        <v>45544</v>
      </c>
      <c r="D600" t="s">
        <v>24</v>
      </c>
      <c r="E600" t="s">
        <v>265</v>
      </c>
      <c r="F600">
        <v>0</v>
      </c>
      <c r="H600" s="9"/>
    </row>
    <row r="601" spans="1:8">
      <c r="A601" t="s">
        <v>624</v>
      </c>
      <c r="B601">
        <v>2024</v>
      </c>
      <c r="C601" s="9">
        <v>45545</v>
      </c>
      <c r="D601" t="s">
        <v>7</v>
      </c>
      <c r="E601" t="s">
        <v>265</v>
      </c>
      <c r="F601">
        <v>631</v>
      </c>
      <c r="H601" s="9"/>
    </row>
    <row r="602" spans="1:8">
      <c r="A602" t="s">
        <v>625</v>
      </c>
      <c r="B602">
        <v>2024</v>
      </c>
      <c r="C602" s="9">
        <v>45546</v>
      </c>
      <c r="D602" t="s">
        <v>10</v>
      </c>
      <c r="E602" t="s">
        <v>265</v>
      </c>
      <c r="F602">
        <v>790</v>
      </c>
      <c r="H602" s="9"/>
    </row>
    <row r="603" spans="1:8">
      <c r="A603" t="s">
        <v>626</v>
      </c>
      <c r="B603">
        <v>2024</v>
      </c>
      <c r="C603" s="9">
        <v>45547</v>
      </c>
      <c r="D603" t="s">
        <v>13</v>
      </c>
      <c r="E603" t="s">
        <v>265</v>
      </c>
      <c r="F603">
        <v>898</v>
      </c>
      <c r="H603" s="9"/>
    </row>
    <row r="604" spans="1:8">
      <c r="A604" t="s">
        <v>627</v>
      </c>
      <c r="B604">
        <v>2024</v>
      </c>
      <c r="C604" s="9">
        <v>45548</v>
      </c>
      <c r="D604" t="s">
        <v>18</v>
      </c>
      <c r="E604" t="s">
        <v>265</v>
      </c>
      <c r="F604">
        <v>712</v>
      </c>
      <c r="H604" s="9"/>
    </row>
    <row r="605" spans="1:8">
      <c r="A605" t="s">
        <v>628</v>
      </c>
      <c r="B605">
        <v>2024</v>
      </c>
      <c r="C605" s="9">
        <v>45549</v>
      </c>
      <c r="D605" t="s">
        <v>20</v>
      </c>
      <c r="E605" t="s">
        <v>265</v>
      </c>
      <c r="F605">
        <v>196</v>
      </c>
      <c r="H605" s="9"/>
    </row>
    <row r="606" spans="1:8">
      <c r="A606" t="s">
        <v>629</v>
      </c>
      <c r="B606">
        <v>2024</v>
      </c>
      <c r="C606" s="9">
        <v>45550</v>
      </c>
      <c r="D606" t="s">
        <v>22</v>
      </c>
      <c r="E606" t="s">
        <v>265</v>
      </c>
      <c r="F606">
        <v>0</v>
      </c>
      <c r="H606" s="9"/>
    </row>
    <row r="607" spans="1:8">
      <c r="A607" t="s">
        <v>630</v>
      </c>
      <c r="B607">
        <v>2024</v>
      </c>
      <c r="C607" s="9">
        <v>45551</v>
      </c>
      <c r="D607" t="s">
        <v>24</v>
      </c>
      <c r="E607" t="s">
        <v>265</v>
      </c>
      <c r="F607">
        <v>0</v>
      </c>
      <c r="H607" s="9"/>
    </row>
    <row r="608" spans="1:8">
      <c r="A608" t="s">
        <v>631</v>
      </c>
      <c r="B608">
        <v>2024</v>
      </c>
      <c r="C608" s="9">
        <v>45552</v>
      </c>
      <c r="D608" t="s">
        <v>7</v>
      </c>
      <c r="E608" t="s">
        <v>265</v>
      </c>
      <c r="F608">
        <v>368</v>
      </c>
      <c r="H608" s="9"/>
    </row>
    <row r="609" spans="1:8">
      <c r="A609" t="s">
        <v>632</v>
      </c>
      <c r="B609">
        <v>2024</v>
      </c>
      <c r="C609" s="9">
        <v>45553</v>
      </c>
      <c r="D609" t="s">
        <v>10</v>
      </c>
      <c r="E609" t="s">
        <v>265</v>
      </c>
      <c r="F609">
        <v>287</v>
      </c>
      <c r="H609" s="9"/>
    </row>
    <row r="610" spans="1:8">
      <c r="A610" t="s">
        <v>633</v>
      </c>
      <c r="B610">
        <v>2024</v>
      </c>
      <c r="C610" s="9">
        <v>45554</v>
      </c>
      <c r="D610" t="s">
        <v>13</v>
      </c>
      <c r="E610" t="s">
        <v>265</v>
      </c>
      <c r="F610">
        <v>452</v>
      </c>
      <c r="H610" s="9"/>
    </row>
    <row r="611" spans="1:8">
      <c r="A611" t="s">
        <v>634</v>
      </c>
      <c r="B611">
        <v>2024</v>
      </c>
      <c r="C611" s="9">
        <v>45555</v>
      </c>
      <c r="D611" t="s">
        <v>18</v>
      </c>
      <c r="E611" t="s">
        <v>265</v>
      </c>
      <c r="F611">
        <v>385</v>
      </c>
      <c r="H611" s="9"/>
    </row>
    <row r="612" spans="1:8">
      <c r="A612" t="s">
        <v>635</v>
      </c>
      <c r="B612">
        <v>2024</v>
      </c>
      <c r="C612" s="9">
        <v>45556</v>
      </c>
      <c r="D612" t="s">
        <v>20</v>
      </c>
      <c r="E612" t="s">
        <v>265</v>
      </c>
      <c r="F612">
        <v>418</v>
      </c>
      <c r="H612" s="9"/>
    </row>
    <row r="613" spans="1:8">
      <c r="A613" t="s">
        <v>636</v>
      </c>
      <c r="B613">
        <v>2024</v>
      </c>
      <c r="C613" s="9">
        <v>45557</v>
      </c>
      <c r="D613" t="s">
        <v>22</v>
      </c>
      <c r="E613" t="s">
        <v>265</v>
      </c>
      <c r="F613">
        <v>0</v>
      </c>
      <c r="H613" s="9"/>
    </row>
    <row r="614" spans="1:8">
      <c r="A614" t="s">
        <v>637</v>
      </c>
      <c r="B614">
        <v>2024</v>
      </c>
      <c r="C614" s="9">
        <v>45558</v>
      </c>
      <c r="D614" t="s">
        <v>24</v>
      </c>
      <c r="E614" t="s">
        <v>265</v>
      </c>
      <c r="F614">
        <v>0</v>
      </c>
      <c r="H614" s="9"/>
    </row>
    <row r="615" spans="1:8">
      <c r="A615" t="s">
        <v>638</v>
      </c>
      <c r="B615">
        <v>2024</v>
      </c>
      <c r="C615" s="9">
        <v>45559</v>
      </c>
      <c r="D615" t="s">
        <v>7</v>
      </c>
      <c r="E615" t="s">
        <v>265</v>
      </c>
      <c r="F615">
        <v>605.79999999999995</v>
      </c>
      <c r="H615" s="9"/>
    </row>
    <row r="616" spans="1:8">
      <c r="A616" t="s">
        <v>639</v>
      </c>
      <c r="B616">
        <v>2024</v>
      </c>
      <c r="C616" s="9">
        <v>45560</v>
      </c>
      <c r="D616" t="s">
        <v>10</v>
      </c>
      <c r="E616" t="s">
        <v>265</v>
      </c>
      <c r="F616">
        <v>502</v>
      </c>
      <c r="H616" s="9"/>
    </row>
    <row r="617" spans="1:8">
      <c r="A617" t="s">
        <v>640</v>
      </c>
      <c r="B617">
        <v>2024</v>
      </c>
      <c r="C617" s="9">
        <v>45561</v>
      </c>
      <c r="D617" t="s">
        <v>13</v>
      </c>
      <c r="E617" t="s">
        <v>265</v>
      </c>
      <c r="F617">
        <v>381</v>
      </c>
      <c r="H617" s="9"/>
    </row>
    <row r="618" spans="1:8">
      <c r="A618" t="s">
        <v>641</v>
      </c>
      <c r="B618">
        <v>2024</v>
      </c>
      <c r="C618" s="9">
        <v>45562</v>
      </c>
      <c r="D618" t="s">
        <v>18</v>
      </c>
      <c r="E618" t="s">
        <v>265</v>
      </c>
      <c r="F618">
        <v>320</v>
      </c>
      <c r="H618" s="9"/>
    </row>
    <row r="619" spans="1:8">
      <c r="A619" t="s">
        <v>642</v>
      </c>
      <c r="B619">
        <v>2024</v>
      </c>
      <c r="C619" s="9">
        <v>45563</v>
      </c>
      <c r="D619" t="s">
        <v>20</v>
      </c>
      <c r="E619" t="s">
        <v>265</v>
      </c>
      <c r="F619">
        <v>421</v>
      </c>
      <c r="H619" s="9"/>
    </row>
    <row r="620" spans="1:8">
      <c r="A620" t="s">
        <v>643</v>
      </c>
      <c r="B620">
        <v>2024</v>
      </c>
      <c r="C620" s="9">
        <v>45564</v>
      </c>
      <c r="D620" t="s">
        <v>22</v>
      </c>
      <c r="E620" t="s">
        <v>265</v>
      </c>
      <c r="F620">
        <v>0</v>
      </c>
      <c r="H620" s="9"/>
    </row>
    <row r="621" spans="1:8">
      <c r="A621" t="s">
        <v>644</v>
      </c>
      <c r="B621">
        <v>2024</v>
      </c>
      <c r="C621" s="9">
        <v>45565</v>
      </c>
      <c r="D621" t="s">
        <v>24</v>
      </c>
      <c r="E621" t="s">
        <v>265</v>
      </c>
      <c r="F621">
        <v>0</v>
      </c>
      <c r="H621" s="9"/>
    </row>
    <row r="622" spans="1:8">
      <c r="A622" t="s">
        <v>645</v>
      </c>
      <c r="B622">
        <v>2024</v>
      </c>
      <c r="C622" s="9">
        <v>45566</v>
      </c>
      <c r="D622" t="s">
        <v>7</v>
      </c>
      <c r="E622" t="s">
        <v>296</v>
      </c>
      <c r="F622">
        <v>566</v>
      </c>
      <c r="H622" s="9"/>
    </row>
    <row r="623" spans="1:8">
      <c r="A623" t="s">
        <v>646</v>
      </c>
      <c r="B623">
        <v>2024</v>
      </c>
      <c r="C623" s="9">
        <v>45567</v>
      </c>
      <c r="D623" t="s">
        <v>10</v>
      </c>
      <c r="E623" t="s">
        <v>296</v>
      </c>
      <c r="F623">
        <v>897</v>
      </c>
      <c r="H623" s="9"/>
    </row>
    <row r="624" spans="1:8">
      <c r="A624" t="s">
        <v>647</v>
      </c>
      <c r="B624">
        <v>2024</v>
      </c>
      <c r="C624" s="9">
        <v>45568</v>
      </c>
      <c r="D624" t="s">
        <v>13</v>
      </c>
      <c r="E624" t="s">
        <v>296</v>
      </c>
      <c r="F624">
        <v>563</v>
      </c>
      <c r="H624" s="9"/>
    </row>
    <row r="625" spans="1:8">
      <c r="A625" t="s">
        <v>648</v>
      </c>
      <c r="B625">
        <v>2024</v>
      </c>
      <c r="C625" s="9">
        <v>45569</v>
      </c>
      <c r="D625" t="s">
        <v>18</v>
      </c>
      <c r="E625" t="s">
        <v>296</v>
      </c>
      <c r="F625">
        <v>728</v>
      </c>
      <c r="H625" s="9"/>
    </row>
    <row r="626" spans="1:8">
      <c r="A626" t="s">
        <v>649</v>
      </c>
      <c r="B626">
        <v>2024</v>
      </c>
      <c r="C626" s="9">
        <v>45570</v>
      </c>
      <c r="D626" t="s">
        <v>20</v>
      </c>
      <c r="E626" t="s">
        <v>296</v>
      </c>
      <c r="F626">
        <v>305</v>
      </c>
      <c r="H626" s="9"/>
    </row>
    <row r="627" spans="1:8">
      <c r="A627" t="s">
        <v>650</v>
      </c>
      <c r="B627">
        <v>2024</v>
      </c>
      <c r="C627" s="9">
        <v>45571</v>
      </c>
      <c r="D627" t="s">
        <v>22</v>
      </c>
      <c r="E627" t="s">
        <v>296</v>
      </c>
      <c r="F627">
        <v>0</v>
      </c>
      <c r="H627" s="9"/>
    </row>
    <row r="628" spans="1:8">
      <c r="A628" t="s">
        <v>651</v>
      </c>
      <c r="B628">
        <v>2024</v>
      </c>
      <c r="C628" s="9">
        <v>45572</v>
      </c>
      <c r="D628" t="s">
        <v>24</v>
      </c>
      <c r="E628" t="s">
        <v>296</v>
      </c>
      <c r="F628">
        <v>0</v>
      </c>
      <c r="H628" s="9"/>
    </row>
    <row r="629" spans="1:8">
      <c r="A629" t="s">
        <v>652</v>
      </c>
      <c r="B629">
        <v>2024</v>
      </c>
      <c r="C629" s="9">
        <v>45573</v>
      </c>
      <c r="D629" t="s">
        <v>7</v>
      </c>
      <c r="E629" t="s">
        <v>296</v>
      </c>
      <c r="F629">
        <v>505</v>
      </c>
      <c r="H629" s="9"/>
    </row>
    <row r="630" spans="1:8">
      <c r="A630" t="s">
        <v>653</v>
      </c>
      <c r="B630">
        <v>2024</v>
      </c>
      <c r="C630" s="9">
        <v>45574</v>
      </c>
      <c r="D630" t="s">
        <v>10</v>
      </c>
      <c r="E630" t="s">
        <v>296</v>
      </c>
      <c r="F630">
        <v>702</v>
      </c>
      <c r="H630" s="9"/>
    </row>
    <row r="631" spans="1:8">
      <c r="A631" t="s">
        <v>654</v>
      </c>
      <c r="B631">
        <v>2024</v>
      </c>
      <c r="C631" s="9">
        <v>45575</v>
      </c>
      <c r="D631" t="s">
        <v>13</v>
      </c>
      <c r="E631" t="s">
        <v>296</v>
      </c>
      <c r="F631">
        <v>341</v>
      </c>
      <c r="H631" s="9"/>
    </row>
    <row r="632" spans="1:8">
      <c r="A632" t="s">
        <v>655</v>
      </c>
      <c r="B632">
        <v>2024</v>
      </c>
      <c r="C632" s="9">
        <v>45576</v>
      </c>
      <c r="D632" t="s">
        <v>18</v>
      </c>
      <c r="E632" t="s">
        <v>296</v>
      </c>
      <c r="F632">
        <v>342</v>
      </c>
      <c r="H632" s="9"/>
    </row>
    <row r="633" spans="1:8">
      <c r="A633" t="s">
        <v>656</v>
      </c>
      <c r="B633">
        <v>2024</v>
      </c>
      <c r="C633" s="9">
        <v>45577</v>
      </c>
      <c r="D633" t="s">
        <v>20</v>
      </c>
      <c r="E633" t="s">
        <v>296</v>
      </c>
      <c r="F633">
        <v>293</v>
      </c>
      <c r="H633" s="9"/>
    </row>
    <row r="634" spans="1:8">
      <c r="A634" t="s">
        <v>657</v>
      </c>
      <c r="B634">
        <v>2024</v>
      </c>
      <c r="C634" s="9">
        <v>45578</v>
      </c>
      <c r="D634" t="s">
        <v>22</v>
      </c>
      <c r="E634" t="s">
        <v>296</v>
      </c>
      <c r="F634">
        <v>0</v>
      </c>
      <c r="H634" s="9"/>
    </row>
    <row r="635" spans="1:8">
      <c r="A635" t="s">
        <v>658</v>
      </c>
      <c r="B635">
        <v>2024</v>
      </c>
      <c r="C635" s="9">
        <v>45579</v>
      </c>
      <c r="D635" t="s">
        <v>24</v>
      </c>
      <c r="E635" t="s">
        <v>296</v>
      </c>
      <c r="F635">
        <v>0</v>
      </c>
      <c r="H635" s="9"/>
    </row>
    <row r="636" spans="1:8">
      <c r="A636" t="s">
        <v>659</v>
      </c>
      <c r="B636">
        <v>2024</v>
      </c>
      <c r="C636" s="9">
        <v>45580</v>
      </c>
      <c r="D636" t="s">
        <v>7</v>
      </c>
      <c r="E636" t="s">
        <v>296</v>
      </c>
      <c r="F636">
        <v>438</v>
      </c>
      <c r="H636" s="9"/>
    </row>
    <row r="637" spans="1:8">
      <c r="A637" t="s">
        <v>660</v>
      </c>
      <c r="B637">
        <v>2024</v>
      </c>
      <c r="C637" s="9">
        <v>45581</v>
      </c>
      <c r="D637" t="s">
        <v>10</v>
      </c>
      <c r="E637" t="s">
        <v>296</v>
      </c>
      <c r="F637">
        <v>441</v>
      </c>
      <c r="H637" s="9"/>
    </row>
    <row r="638" spans="1:8">
      <c r="A638" t="s">
        <v>661</v>
      </c>
      <c r="B638">
        <v>2024</v>
      </c>
      <c r="C638" s="9">
        <v>45582</v>
      </c>
      <c r="D638" t="s">
        <v>13</v>
      </c>
      <c r="E638" t="s">
        <v>296</v>
      </c>
      <c r="F638">
        <v>351</v>
      </c>
      <c r="H638" s="9"/>
    </row>
    <row r="639" spans="1:8">
      <c r="A639" t="s">
        <v>662</v>
      </c>
      <c r="B639">
        <v>2024</v>
      </c>
      <c r="C639" s="9">
        <v>45583</v>
      </c>
      <c r="D639" t="s">
        <v>18</v>
      </c>
      <c r="E639" t="s">
        <v>296</v>
      </c>
      <c r="F639">
        <v>445</v>
      </c>
      <c r="H639" s="9"/>
    </row>
    <row r="640" spans="1:8">
      <c r="A640" t="s">
        <v>663</v>
      </c>
      <c r="B640">
        <v>2024</v>
      </c>
      <c r="C640" s="9">
        <v>45584</v>
      </c>
      <c r="D640" t="s">
        <v>20</v>
      </c>
      <c r="E640" t="s">
        <v>296</v>
      </c>
      <c r="F640">
        <v>305</v>
      </c>
      <c r="H640" s="9"/>
    </row>
    <row r="641" spans="1:8">
      <c r="A641" t="s">
        <v>664</v>
      </c>
      <c r="B641">
        <v>2024</v>
      </c>
      <c r="C641" s="9">
        <v>45585</v>
      </c>
      <c r="D641" t="s">
        <v>22</v>
      </c>
      <c r="E641" t="s">
        <v>296</v>
      </c>
      <c r="F641">
        <v>0</v>
      </c>
      <c r="H641" s="9"/>
    </row>
    <row r="642" spans="1:8">
      <c r="A642" t="s">
        <v>665</v>
      </c>
      <c r="B642">
        <v>2024</v>
      </c>
      <c r="C642" s="9">
        <v>45586</v>
      </c>
      <c r="D642" t="s">
        <v>24</v>
      </c>
      <c r="E642" t="s">
        <v>296</v>
      </c>
      <c r="F642">
        <v>0</v>
      </c>
      <c r="H642" s="9"/>
    </row>
    <row r="643" spans="1:8">
      <c r="A643" t="s">
        <v>666</v>
      </c>
      <c r="B643">
        <v>2024</v>
      </c>
      <c r="C643" s="9">
        <v>45587</v>
      </c>
      <c r="D643" t="s">
        <v>7</v>
      </c>
      <c r="E643" t="s">
        <v>296</v>
      </c>
      <c r="F643">
        <v>579</v>
      </c>
      <c r="H643" s="9"/>
    </row>
    <row r="644" spans="1:8">
      <c r="A644" t="s">
        <v>667</v>
      </c>
      <c r="B644">
        <v>2024</v>
      </c>
      <c r="C644" s="9">
        <v>45588</v>
      </c>
      <c r="D644" t="s">
        <v>10</v>
      </c>
      <c r="E644" t="s">
        <v>296</v>
      </c>
      <c r="F644">
        <v>523</v>
      </c>
      <c r="H644" s="9"/>
    </row>
    <row r="645" spans="1:8">
      <c r="A645" t="s">
        <v>668</v>
      </c>
      <c r="B645">
        <v>2024</v>
      </c>
      <c r="C645" s="9">
        <v>45589</v>
      </c>
      <c r="D645" t="s">
        <v>13</v>
      </c>
      <c r="E645" t="s">
        <v>296</v>
      </c>
      <c r="F645">
        <v>610.5</v>
      </c>
      <c r="H645" s="9"/>
    </row>
    <row r="646" spans="1:8">
      <c r="A646" t="s">
        <v>669</v>
      </c>
      <c r="B646">
        <v>2024</v>
      </c>
      <c r="C646" s="9">
        <v>45590</v>
      </c>
      <c r="D646" t="s">
        <v>18</v>
      </c>
      <c r="E646" t="s">
        <v>296</v>
      </c>
      <c r="F646">
        <v>546</v>
      </c>
      <c r="H646" s="9"/>
    </row>
    <row r="647" spans="1:8">
      <c r="A647" t="s">
        <v>670</v>
      </c>
      <c r="B647">
        <v>2024</v>
      </c>
      <c r="C647" s="9">
        <v>45591</v>
      </c>
      <c r="D647" t="s">
        <v>20</v>
      </c>
      <c r="E647" t="s">
        <v>296</v>
      </c>
      <c r="F647">
        <v>347</v>
      </c>
      <c r="H647" s="9"/>
    </row>
    <row r="648" spans="1:8">
      <c r="A648" t="s">
        <v>671</v>
      </c>
      <c r="B648">
        <v>2024</v>
      </c>
      <c r="C648" s="9">
        <v>45592</v>
      </c>
      <c r="D648" t="s">
        <v>22</v>
      </c>
      <c r="E648" t="s">
        <v>296</v>
      </c>
      <c r="F648">
        <v>0</v>
      </c>
      <c r="H648" s="9"/>
    </row>
    <row r="649" spans="1:8">
      <c r="A649" t="s">
        <v>672</v>
      </c>
      <c r="B649">
        <v>2024</v>
      </c>
      <c r="C649" s="9">
        <v>45593</v>
      </c>
      <c r="D649" t="s">
        <v>24</v>
      </c>
      <c r="E649" t="s">
        <v>296</v>
      </c>
      <c r="F649">
        <v>0</v>
      </c>
      <c r="H649" s="9"/>
    </row>
    <row r="650" spans="1:8">
      <c r="A650" t="s">
        <v>673</v>
      </c>
      <c r="B650">
        <v>2024</v>
      </c>
      <c r="C650" s="9">
        <v>45594</v>
      </c>
      <c r="D650" t="s">
        <v>7</v>
      </c>
      <c r="E650" t="s">
        <v>296</v>
      </c>
      <c r="F650">
        <v>662</v>
      </c>
      <c r="H650" s="9"/>
    </row>
    <row r="651" spans="1:8">
      <c r="A651" t="s">
        <v>674</v>
      </c>
      <c r="B651">
        <v>2024</v>
      </c>
      <c r="C651" s="9">
        <v>45595</v>
      </c>
      <c r="D651" t="s">
        <v>10</v>
      </c>
      <c r="E651" t="s">
        <v>296</v>
      </c>
      <c r="F651">
        <v>514</v>
      </c>
      <c r="H651" s="9"/>
    </row>
    <row r="652" spans="1:8">
      <c r="A652" t="s">
        <v>675</v>
      </c>
      <c r="B652">
        <v>2024</v>
      </c>
      <c r="C652" s="9">
        <v>45596</v>
      </c>
      <c r="D652" t="s">
        <v>13</v>
      </c>
      <c r="E652" t="s">
        <v>296</v>
      </c>
      <c r="F652">
        <v>411</v>
      </c>
      <c r="H652" s="9"/>
    </row>
    <row r="653" spans="1:8">
      <c r="A653" t="s">
        <v>676</v>
      </c>
      <c r="B653">
        <v>2024</v>
      </c>
      <c r="C653" s="9">
        <v>45597</v>
      </c>
      <c r="D653" t="s">
        <v>18</v>
      </c>
      <c r="E653" t="s">
        <v>328</v>
      </c>
      <c r="F653">
        <v>0</v>
      </c>
      <c r="H653" s="9"/>
    </row>
    <row r="654" spans="1:8">
      <c r="A654" t="s">
        <v>677</v>
      </c>
      <c r="B654">
        <v>2024</v>
      </c>
      <c r="C654" s="9">
        <v>45598</v>
      </c>
      <c r="D654" t="s">
        <v>20</v>
      </c>
      <c r="E654" t="s">
        <v>328</v>
      </c>
      <c r="F654">
        <v>577</v>
      </c>
      <c r="H654" s="9"/>
    </row>
    <row r="655" spans="1:8">
      <c r="A655" t="s">
        <v>678</v>
      </c>
      <c r="B655">
        <v>2024</v>
      </c>
      <c r="C655" s="9">
        <v>45599</v>
      </c>
      <c r="D655" t="s">
        <v>22</v>
      </c>
      <c r="E655" t="s">
        <v>328</v>
      </c>
      <c r="F655">
        <v>0</v>
      </c>
      <c r="H655" s="9"/>
    </row>
    <row r="656" spans="1:8">
      <c r="A656" t="s">
        <v>679</v>
      </c>
      <c r="B656">
        <v>2024</v>
      </c>
      <c r="C656" s="9">
        <v>45600</v>
      </c>
      <c r="D656" t="s">
        <v>24</v>
      </c>
      <c r="E656" t="s">
        <v>328</v>
      </c>
      <c r="F656">
        <v>0</v>
      </c>
      <c r="H656" s="9"/>
    </row>
    <row r="657" spans="1:8">
      <c r="A657" t="s">
        <v>680</v>
      </c>
      <c r="B657">
        <v>2024</v>
      </c>
      <c r="C657" s="9">
        <v>45601</v>
      </c>
      <c r="D657" t="s">
        <v>7</v>
      </c>
      <c r="E657" t="s">
        <v>328</v>
      </c>
      <c r="F657">
        <v>897</v>
      </c>
      <c r="H657" s="9"/>
    </row>
    <row r="658" spans="1:8">
      <c r="A658" t="s">
        <v>681</v>
      </c>
      <c r="B658">
        <v>2024</v>
      </c>
      <c r="C658" s="9">
        <v>45602</v>
      </c>
      <c r="D658" t="s">
        <v>10</v>
      </c>
      <c r="E658" t="s">
        <v>328</v>
      </c>
      <c r="F658">
        <v>689</v>
      </c>
      <c r="H658" s="9"/>
    </row>
    <row r="659" spans="1:8">
      <c r="A659" t="s">
        <v>682</v>
      </c>
      <c r="B659">
        <v>2024</v>
      </c>
      <c r="C659" s="9">
        <v>45603</v>
      </c>
      <c r="D659" t="s">
        <v>13</v>
      </c>
      <c r="E659" t="s">
        <v>328</v>
      </c>
      <c r="F659">
        <v>568</v>
      </c>
      <c r="H659" s="9"/>
    </row>
    <row r="660" spans="1:8">
      <c r="A660" t="s">
        <v>683</v>
      </c>
      <c r="B660">
        <v>2024</v>
      </c>
      <c r="C660" s="9">
        <v>45604</v>
      </c>
      <c r="D660" t="s">
        <v>18</v>
      </c>
      <c r="E660" t="s">
        <v>328</v>
      </c>
      <c r="F660">
        <v>758</v>
      </c>
      <c r="H660" s="9"/>
    </row>
    <row r="661" spans="1:8">
      <c r="A661" t="s">
        <v>684</v>
      </c>
      <c r="B661">
        <v>2024</v>
      </c>
      <c r="C661" s="9">
        <v>45605</v>
      </c>
      <c r="D661" t="s">
        <v>20</v>
      </c>
      <c r="E661" t="s">
        <v>328</v>
      </c>
      <c r="F661">
        <v>413</v>
      </c>
      <c r="H661" s="9"/>
    </row>
    <row r="662" spans="1:8">
      <c r="A662" t="s">
        <v>685</v>
      </c>
      <c r="B662">
        <v>2024</v>
      </c>
      <c r="C662" s="9">
        <v>45606</v>
      </c>
      <c r="D662" t="s">
        <v>22</v>
      </c>
      <c r="E662" t="s">
        <v>328</v>
      </c>
      <c r="F662">
        <v>0</v>
      </c>
      <c r="H662" s="9"/>
    </row>
    <row r="663" spans="1:8">
      <c r="A663" t="s">
        <v>686</v>
      </c>
      <c r="B663">
        <v>2024</v>
      </c>
      <c r="C663" s="9">
        <v>45607</v>
      </c>
      <c r="D663" t="s">
        <v>24</v>
      </c>
      <c r="E663" t="s">
        <v>328</v>
      </c>
      <c r="F663">
        <v>0</v>
      </c>
      <c r="H663" s="9"/>
    </row>
    <row r="664" spans="1:8">
      <c r="A664" t="s">
        <v>687</v>
      </c>
      <c r="B664">
        <v>2024</v>
      </c>
      <c r="C664" s="9">
        <v>45608</v>
      </c>
      <c r="D664" t="s">
        <v>7</v>
      </c>
      <c r="E664" t="s">
        <v>328</v>
      </c>
      <c r="F664">
        <v>474</v>
      </c>
      <c r="H664" s="9"/>
    </row>
    <row r="665" spans="1:8">
      <c r="A665" t="s">
        <v>688</v>
      </c>
      <c r="B665">
        <v>2024</v>
      </c>
      <c r="C665" s="9">
        <v>45609</v>
      </c>
      <c r="D665" t="s">
        <v>10</v>
      </c>
      <c r="E665" t="s">
        <v>328</v>
      </c>
      <c r="F665">
        <v>873</v>
      </c>
      <c r="H665" s="9"/>
    </row>
    <row r="666" spans="1:8">
      <c r="A666" t="s">
        <v>689</v>
      </c>
      <c r="B666">
        <v>2024</v>
      </c>
      <c r="C666" s="9">
        <v>45610</v>
      </c>
      <c r="D666" t="s">
        <v>13</v>
      </c>
      <c r="E666" t="s">
        <v>328</v>
      </c>
      <c r="F666">
        <v>524</v>
      </c>
      <c r="H666" s="9"/>
    </row>
    <row r="667" spans="1:8">
      <c r="A667" t="s">
        <v>690</v>
      </c>
      <c r="B667">
        <v>2024</v>
      </c>
      <c r="C667" s="9">
        <v>45611</v>
      </c>
      <c r="D667" t="s">
        <v>18</v>
      </c>
      <c r="E667" t="s">
        <v>328</v>
      </c>
      <c r="F667">
        <v>510</v>
      </c>
      <c r="H667" s="9"/>
    </row>
    <row r="668" spans="1:8">
      <c r="A668" t="s">
        <v>691</v>
      </c>
      <c r="B668">
        <v>2024</v>
      </c>
      <c r="C668" s="9">
        <v>45612</v>
      </c>
      <c r="D668" t="s">
        <v>20</v>
      </c>
      <c r="E668" t="s">
        <v>328</v>
      </c>
      <c r="F668">
        <v>227</v>
      </c>
      <c r="H668" s="9"/>
    </row>
    <row r="669" spans="1:8">
      <c r="A669" t="s">
        <v>692</v>
      </c>
      <c r="B669">
        <v>2024</v>
      </c>
      <c r="C669" s="9">
        <v>45613</v>
      </c>
      <c r="D669" t="s">
        <v>22</v>
      </c>
      <c r="E669" t="s">
        <v>328</v>
      </c>
      <c r="F669">
        <v>0</v>
      </c>
      <c r="H669" s="9"/>
    </row>
    <row r="670" spans="1:8">
      <c r="A670" t="s">
        <v>693</v>
      </c>
      <c r="B670">
        <v>2024</v>
      </c>
      <c r="C670" s="9">
        <v>45614</v>
      </c>
      <c r="D670" t="s">
        <v>24</v>
      </c>
      <c r="E670" t="s">
        <v>328</v>
      </c>
      <c r="F670">
        <v>0</v>
      </c>
      <c r="H670" s="9"/>
    </row>
    <row r="671" spans="1:8">
      <c r="A671" t="s">
        <v>694</v>
      </c>
      <c r="B671">
        <v>2024</v>
      </c>
      <c r="C671" s="9">
        <v>45615</v>
      </c>
      <c r="D671" t="s">
        <v>7</v>
      </c>
      <c r="E671" t="s">
        <v>328</v>
      </c>
      <c r="F671">
        <v>738</v>
      </c>
      <c r="H671" s="9"/>
    </row>
    <row r="672" spans="1:8">
      <c r="A672" t="s">
        <v>695</v>
      </c>
      <c r="B672">
        <v>2024</v>
      </c>
      <c r="C672" s="9">
        <v>45616</v>
      </c>
      <c r="D672" t="s">
        <v>10</v>
      </c>
      <c r="E672" t="s">
        <v>328</v>
      </c>
      <c r="F672">
        <v>539</v>
      </c>
      <c r="H672" s="9"/>
    </row>
    <row r="673" spans="1:8">
      <c r="A673" t="s">
        <v>696</v>
      </c>
      <c r="B673">
        <v>2024</v>
      </c>
      <c r="C673" s="9">
        <v>45617</v>
      </c>
      <c r="D673" t="s">
        <v>13</v>
      </c>
      <c r="E673" t="s">
        <v>328</v>
      </c>
      <c r="F673">
        <v>427</v>
      </c>
      <c r="H673" s="9"/>
    </row>
    <row r="674" spans="1:8">
      <c r="A674" t="s">
        <v>697</v>
      </c>
      <c r="B674">
        <v>2024</v>
      </c>
      <c r="C674" s="9">
        <v>45618</v>
      </c>
      <c r="D674" t="s">
        <v>18</v>
      </c>
      <c r="E674" t="s">
        <v>328</v>
      </c>
      <c r="F674">
        <v>723</v>
      </c>
      <c r="H674" s="9"/>
    </row>
    <row r="675" spans="1:8">
      <c r="A675" t="s">
        <v>698</v>
      </c>
      <c r="B675">
        <v>2024</v>
      </c>
      <c r="C675" s="9">
        <v>45619</v>
      </c>
      <c r="D675" t="s">
        <v>20</v>
      </c>
      <c r="E675" t="s">
        <v>328</v>
      </c>
      <c r="F675">
        <v>373</v>
      </c>
      <c r="H675" s="9"/>
    </row>
    <row r="676" spans="1:8">
      <c r="A676" t="s">
        <v>699</v>
      </c>
      <c r="B676">
        <v>2024</v>
      </c>
      <c r="C676" s="9">
        <v>45620</v>
      </c>
      <c r="D676" t="s">
        <v>22</v>
      </c>
      <c r="E676" t="s">
        <v>328</v>
      </c>
      <c r="F676">
        <v>0</v>
      </c>
      <c r="H676" s="9"/>
    </row>
    <row r="677" spans="1:8">
      <c r="A677" t="s">
        <v>700</v>
      </c>
      <c r="B677">
        <v>2024</v>
      </c>
      <c r="C677" s="9">
        <v>45621</v>
      </c>
      <c r="D677" t="s">
        <v>24</v>
      </c>
      <c r="E677" t="s">
        <v>328</v>
      </c>
      <c r="F677">
        <v>0</v>
      </c>
      <c r="H677" s="9"/>
    </row>
    <row r="678" spans="1:8">
      <c r="A678" t="s">
        <v>701</v>
      </c>
      <c r="B678">
        <v>2024</v>
      </c>
      <c r="C678" s="9">
        <v>45622</v>
      </c>
      <c r="D678" t="s">
        <v>7</v>
      </c>
      <c r="E678" t="s">
        <v>328</v>
      </c>
      <c r="F678">
        <v>374</v>
      </c>
      <c r="H678" s="9"/>
    </row>
    <row r="679" spans="1:8">
      <c r="A679" t="s">
        <v>702</v>
      </c>
      <c r="B679">
        <v>2024</v>
      </c>
      <c r="C679" s="9">
        <v>45623</v>
      </c>
      <c r="D679" t="s">
        <v>10</v>
      </c>
      <c r="E679" t="s">
        <v>328</v>
      </c>
      <c r="F679">
        <v>525</v>
      </c>
      <c r="H679" s="9"/>
    </row>
    <row r="680" spans="1:8">
      <c r="A680" t="s">
        <v>703</v>
      </c>
      <c r="B680">
        <v>2024</v>
      </c>
      <c r="C680" s="9">
        <v>45624</v>
      </c>
      <c r="D680" t="s">
        <v>13</v>
      </c>
      <c r="E680" t="s">
        <v>328</v>
      </c>
      <c r="F680">
        <v>382</v>
      </c>
      <c r="H680" s="9"/>
    </row>
    <row r="681" spans="1:8">
      <c r="A681" t="s">
        <v>704</v>
      </c>
      <c r="B681">
        <v>2024</v>
      </c>
      <c r="C681" s="9">
        <v>45625</v>
      </c>
      <c r="D681" t="s">
        <v>18</v>
      </c>
      <c r="E681" t="s">
        <v>328</v>
      </c>
      <c r="F681">
        <v>803</v>
      </c>
      <c r="H681" s="9"/>
    </row>
    <row r="682" spans="1:8">
      <c r="A682" t="s">
        <v>705</v>
      </c>
      <c r="B682">
        <v>2024</v>
      </c>
      <c r="C682" s="9">
        <v>45626</v>
      </c>
      <c r="D682" t="s">
        <v>20</v>
      </c>
      <c r="E682" t="s">
        <v>328</v>
      </c>
      <c r="F682">
        <v>336</v>
      </c>
      <c r="H682" s="9"/>
    </row>
    <row r="683" spans="1:8">
      <c r="A683" t="s">
        <v>706</v>
      </c>
      <c r="B683">
        <v>2024</v>
      </c>
      <c r="C683" s="9">
        <v>45627</v>
      </c>
      <c r="D683" t="s">
        <v>22</v>
      </c>
      <c r="E683" t="s">
        <v>358</v>
      </c>
      <c r="F683">
        <v>0</v>
      </c>
      <c r="H683" s="9"/>
    </row>
    <row r="684" spans="1:8">
      <c r="A684" t="s">
        <v>707</v>
      </c>
      <c r="B684">
        <v>2024</v>
      </c>
      <c r="C684" s="9">
        <v>45628</v>
      </c>
      <c r="D684" t="s">
        <v>24</v>
      </c>
      <c r="E684" t="s">
        <v>358</v>
      </c>
      <c r="F684">
        <v>0</v>
      </c>
      <c r="H684" s="9"/>
    </row>
    <row r="685" spans="1:8">
      <c r="A685" t="s">
        <v>708</v>
      </c>
      <c r="B685">
        <v>2024</v>
      </c>
      <c r="C685" s="9">
        <v>45629</v>
      </c>
      <c r="D685" t="s">
        <v>7</v>
      </c>
      <c r="E685" t="s">
        <v>358</v>
      </c>
      <c r="F685">
        <v>669</v>
      </c>
      <c r="H685" s="9"/>
    </row>
    <row r="686" spans="1:8">
      <c r="A686" t="s">
        <v>709</v>
      </c>
      <c r="B686">
        <v>2024</v>
      </c>
      <c r="C686" s="9">
        <v>45630</v>
      </c>
      <c r="D686" t="s">
        <v>10</v>
      </c>
      <c r="E686" t="s">
        <v>358</v>
      </c>
      <c r="F686">
        <v>547</v>
      </c>
      <c r="H686" s="9"/>
    </row>
    <row r="687" spans="1:8">
      <c r="A687" t="s">
        <v>710</v>
      </c>
      <c r="B687">
        <v>2024</v>
      </c>
      <c r="C687" s="9">
        <v>45631</v>
      </c>
      <c r="D687" t="s">
        <v>13</v>
      </c>
      <c r="E687" t="s">
        <v>358</v>
      </c>
      <c r="F687">
        <v>632</v>
      </c>
      <c r="H687" s="9"/>
    </row>
    <row r="688" spans="1:8">
      <c r="A688" t="s">
        <v>711</v>
      </c>
      <c r="B688">
        <v>2024</v>
      </c>
      <c r="C688" s="9">
        <v>45632</v>
      </c>
      <c r="D688" t="s">
        <v>18</v>
      </c>
      <c r="E688" t="s">
        <v>358</v>
      </c>
      <c r="F688">
        <v>741</v>
      </c>
      <c r="H688" s="9"/>
    </row>
    <row r="689" spans="1:8">
      <c r="A689" t="s">
        <v>712</v>
      </c>
      <c r="B689">
        <v>2024</v>
      </c>
      <c r="C689" s="9">
        <v>45633</v>
      </c>
      <c r="D689" t="s">
        <v>20</v>
      </c>
      <c r="E689" t="s">
        <v>358</v>
      </c>
      <c r="F689">
        <v>358</v>
      </c>
      <c r="H689" s="9"/>
    </row>
    <row r="690" spans="1:8">
      <c r="A690" t="s">
        <v>713</v>
      </c>
      <c r="B690">
        <v>2024</v>
      </c>
      <c r="C690" s="9">
        <v>45634</v>
      </c>
      <c r="D690" t="s">
        <v>22</v>
      </c>
      <c r="E690" t="s">
        <v>358</v>
      </c>
      <c r="F690">
        <v>0</v>
      </c>
      <c r="H690" s="9"/>
    </row>
    <row r="691" spans="1:8">
      <c r="A691" t="s">
        <v>714</v>
      </c>
      <c r="B691">
        <v>2024</v>
      </c>
      <c r="C691" s="9">
        <v>45635</v>
      </c>
      <c r="D691" t="s">
        <v>24</v>
      </c>
      <c r="E691" t="s">
        <v>358</v>
      </c>
      <c r="F691">
        <v>0</v>
      </c>
      <c r="H691" s="9"/>
    </row>
    <row r="692" spans="1:8">
      <c r="A692" t="s">
        <v>715</v>
      </c>
      <c r="B692">
        <v>2024</v>
      </c>
      <c r="C692" s="9">
        <v>45636</v>
      </c>
      <c r="D692" t="s">
        <v>7</v>
      </c>
      <c r="E692" t="s">
        <v>358</v>
      </c>
      <c r="F692">
        <v>587</v>
      </c>
      <c r="H692" s="9"/>
    </row>
    <row r="693" spans="1:8">
      <c r="A693" t="s">
        <v>716</v>
      </c>
      <c r="B693">
        <v>2024</v>
      </c>
      <c r="C693" s="9">
        <v>45637</v>
      </c>
      <c r="D693" t="s">
        <v>10</v>
      </c>
      <c r="E693" t="s">
        <v>358</v>
      </c>
      <c r="F693">
        <v>924.5</v>
      </c>
      <c r="H693" s="9"/>
    </row>
    <row r="694" spans="1:8">
      <c r="A694" t="s">
        <v>717</v>
      </c>
      <c r="B694">
        <v>2024</v>
      </c>
      <c r="C694" s="9">
        <v>45638</v>
      </c>
      <c r="D694" t="s">
        <v>13</v>
      </c>
      <c r="E694" t="s">
        <v>358</v>
      </c>
      <c r="F694">
        <v>609</v>
      </c>
      <c r="H694" s="9"/>
    </row>
    <row r="695" spans="1:8">
      <c r="A695" t="s">
        <v>718</v>
      </c>
      <c r="B695">
        <v>2024</v>
      </c>
      <c r="C695" s="9">
        <v>45639</v>
      </c>
      <c r="D695" t="s">
        <v>18</v>
      </c>
      <c r="E695" t="s">
        <v>358</v>
      </c>
      <c r="F695">
        <v>887</v>
      </c>
      <c r="H695" s="9"/>
    </row>
    <row r="696" spans="1:8">
      <c r="A696" t="s">
        <v>719</v>
      </c>
      <c r="B696">
        <v>2024</v>
      </c>
      <c r="C696" s="9">
        <v>45640</v>
      </c>
      <c r="D696" t="s">
        <v>20</v>
      </c>
      <c r="E696" t="s">
        <v>358</v>
      </c>
      <c r="F696">
        <v>329</v>
      </c>
      <c r="H696" s="9"/>
    </row>
    <row r="697" spans="1:8">
      <c r="A697" t="s">
        <v>720</v>
      </c>
      <c r="B697">
        <v>2024</v>
      </c>
      <c r="C697" s="9">
        <v>45641</v>
      </c>
      <c r="D697" t="s">
        <v>22</v>
      </c>
      <c r="E697" t="s">
        <v>358</v>
      </c>
      <c r="F697">
        <v>0</v>
      </c>
      <c r="H697" s="9"/>
    </row>
    <row r="698" spans="1:8">
      <c r="A698" t="s">
        <v>721</v>
      </c>
      <c r="B698">
        <v>2024</v>
      </c>
      <c r="C698" s="9">
        <v>45642</v>
      </c>
      <c r="D698" t="s">
        <v>24</v>
      </c>
      <c r="E698" t="s">
        <v>358</v>
      </c>
      <c r="F698">
        <v>0</v>
      </c>
      <c r="H698" s="9"/>
    </row>
    <row r="699" spans="1:8">
      <c r="A699" t="s">
        <v>722</v>
      </c>
      <c r="B699">
        <v>2024</v>
      </c>
      <c r="C699" s="9">
        <v>45643</v>
      </c>
      <c r="D699" t="s">
        <v>7</v>
      </c>
      <c r="E699" t="s">
        <v>358</v>
      </c>
      <c r="F699">
        <v>1197</v>
      </c>
      <c r="H699" s="9"/>
    </row>
    <row r="700" spans="1:8">
      <c r="A700" t="s">
        <v>723</v>
      </c>
      <c r="B700">
        <v>2024</v>
      </c>
      <c r="C700" s="9">
        <v>45644</v>
      </c>
      <c r="D700" t="s">
        <v>10</v>
      </c>
      <c r="E700" t="s">
        <v>358</v>
      </c>
      <c r="F700">
        <v>841</v>
      </c>
      <c r="H700" s="9"/>
    </row>
    <row r="701" spans="1:8">
      <c r="A701" t="s">
        <v>724</v>
      </c>
      <c r="B701">
        <v>2024</v>
      </c>
      <c r="C701" s="9">
        <v>45645</v>
      </c>
      <c r="D701" t="s">
        <v>13</v>
      </c>
      <c r="E701" t="s">
        <v>358</v>
      </c>
      <c r="F701">
        <v>1003</v>
      </c>
      <c r="H701" s="9"/>
    </row>
    <row r="702" spans="1:8">
      <c r="A702" t="s">
        <v>725</v>
      </c>
      <c r="B702">
        <v>2024</v>
      </c>
      <c r="C702" s="9">
        <v>45646</v>
      </c>
      <c r="D702" t="s">
        <v>18</v>
      </c>
      <c r="E702" t="s">
        <v>358</v>
      </c>
      <c r="F702">
        <v>1212</v>
      </c>
      <c r="H702" s="9"/>
    </row>
    <row r="703" spans="1:8">
      <c r="A703" t="s">
        <v>726</v>
      </c>
      <c r="B703">
        <v>2024</v>
      </c>
      <c r="C703" s="9">
        <v>45647</v>
      </c>
      <c r="D703" t="s">
        <v>20</v>
      </c>
      <c r="E703" t="s">
        <v>358</v>
      </c>
      <c r="F703">
        <v>642</v>
      </c>
      <c r="H703" s="9"/>
    </row>
    <row r="704" spans="1:8">
      <c r="A704" t="s">
        <v>727</v>
      </c>
      <c r="B704">
        <v>2024</v>
      </c>
      <c r="C704" s="9">
        <v>45648</v>
      </c>
      <c r="D704" t="s">
        <v>22</v>
      </c>
      <c r="E704" t="s">
        <v>358</v>
      </c>
      <c r="F704">
        <v>0</v>
      </c>
      <c r="H704" s="9"/>
    </row>
    <row r="705" spans="1:8">
      <c r="A705" t="s">
        <v>728</v>
      </c>
      <c r="B705">
        <v>2024</v>
      </c>
      <c r="C705" s="9">
        <v>45649</v>
      </c>
      <c r="D705" t="s">
        <v>24</v>
      </c>
      <c r="E705" t="s">
        <v>358</v>
      </c>
      <c r="F705">
        <v>0</v>
      </c>
      <c r="H705" s="9"/>
    </row>
    <row r="706" spans="1:8">
      <c r="A706" t="s">
        <v>729</v>
      </c>
      <c r="B706">
        <v>2024</v>
      </c>
      <c r="C706" s="9">
        <v>45650</v>
      </c>
      <c r="D706" t="s">
        <v>7</v>
      </c>
      <c r="E706" t="s">
        <v>358</v>
      </c>
      <c r="F706">
        <v>1339.9</v>
      </c>
      <c r="H706" s="9"/>
    </row>
    <row r="707" spans="1:8">
      <c r="A707" t="s">
        <v>730</v>
      </c>
      <c r="B707">
        <v>2024</v>
      </c>
      <c r="C707" s="9">
        <v>45651</v>
      </c>
      <c r="D707" t="s">
        <v>10</v>
      </c>
      <c r="E707" t="s">
        <v>358</v>
      </c>
      <c r="F707">
        <v>0</v>
      </c>
      <c r="H707" s="9"/>
    </row>
    <row r="708" spans="1:8">
      <c r="A708" t="s">
        <v>731</v>
      </c>
      <c r="B708">
        <v>2024</v>
      </c>
      <c r="C708" s="9">
        <v>45652</v>
      </c>
      <c r="D708" t="s">
        <v>13</v>
      </c>
      <c r="E708" t="s">
        <v>358</v>
      </c>
      <c r="F708">
        <v>769</v>
      </c>
      <c r="H708" s="9"/>
    </row>
    <row r="709" spans="1:8">
      <c r="A709" t="s">
        <v>732</v>
      </c>
      <c r="B709">
        <v>2024</v>
      </c>
      <c r="C709" s="9">
        <v>45653</v>
      </c>
      <c r="D709" t="s">
        <v>18</v>
      </c>
      <c r="E709" t="s">
        <v>358</v>
      </c>
      <c r="F709">
        <v>605</v>
      </c>
      <c r="H709" s="9"/>
    </row>
    <row r="710" spans="1:8">
      <c r="A710" t="s">
        <v>733</v>
      </c>
      <c r="B710">
        <v>2024</v>
      </c>
      <c r="C710" s="9">
        <v>45654</v>
      </c>
      <c r="D710" t="s">
        <v>20</v>
      </c>
      <c r="E710" t="s">
        <v>358</v>
      </c>
      <c r="F710">
        <v>578</v>
      </c>
      <c r="H710" s="9"/>
    </row>
    <row r="711" spans="1:8">
      <c r="A711" t="s">
        <v>734</v>
      </c>
      <c r="B711">
        <v>2024</v>
      </c>
      <c r="C711" s="9">
        <v>45655</v>
      </c>
      <c r="D711" t="s">
        <v>22</v>
      </c>
      <c r="E711" t="s">
        <v>358</v>
      </c>
      <c r="F711">
        <v>0</v>
      </c>
      <c r="H711" s="9"/>
    </row>
    <row r="712" spans="1:8">
      <c r="A712" t="s">
        <v>735</v>
      </c>
      <c r="B712">
        <v>2024</v>
      </c>
      <c r="C712" s="9">
        <v>45656</v>
      </c>
      <c r="D712" t="s">
        <v>24</v>
      </c>
      <c r="E712" t="s">
        <v>358</v>
      </c>
      <c r="F712">
        <v>0</v>
      </c>
      <c r="H712" s="9"/>
    </row>
    <row r="713" spans="1:8">
      <c r="A713" t="s">
        <v>736</v>
      </c>
      <c r="B713">
        <v>2024</v>
      </c>
      <c r="C713" s="9">
        <v>45657</v>
      </c>
      <c r="D713" t="s">
        <v>7</v>
      </c>
      <c r="E713" t="s">
        <v>358</v>
      </c>
      <c r="F713">
        <v>802</v>
      </c>
      <c r="H713" s="9"/>
    </row>
    <row r="714" spans="1:8">
      <c r="A714" t="s">
        <v>737</v>
      </c>
      <c r="B714">
        <v>2025</v>
      </c>
      <c r="C714" s="9">
        <v>46008</v>
      </c>
      <c r="D714" t="s">
        <v>10</v>
      </c>
      <c r="E714" t="s">
        <v>358</v>
      </c>
      <c r="F714">
        <v>801</v>
      </c>
    </row>
    <row r="715" spans="1:8">
      <c r="A715" t="s">
        <v>738</v>
      </c>
      <c r="B715">
        <v>2025</v>
      </c>
      <c r="C715" s="9">
        <v>46009</v>
      </c>
      <c r="D715" t="s">
        <v>13</v>
      </c>
      <c r="E715" t="s">
        <v>358</v>
      </c>
      <c r="F715">
        <v>907</v>
      </c>
    </row>
    <row r="716" spans="1:8">
      <c r="A716" t="s">
        <v>739</v>
      </c>
      <c r="B716">
        <v>2025</v>
      </c>
      <c r="C716" s="9">
        <v>46010</v>
      </c>
      <c r="D716" t="s">
        <v>18</v>
      </c>
      <c r="E716" t="s">
        <v>358</v>
      </c>
      <c r="F716">
        <v>708</v>
      </c>
    </row>
    <row r="717" spans="1:8">
      <c r="A717" t="s">
        <v>775</v>
      </c>
      <c r="B717">
        <v>2022</v>
      </c>
      <c r="C717" s="9">
        <v>44743</v>
      </c>
      <c r="D717" t="s">
        <v>18</v>
      </c>
      <c r="E717" t="s">
        <v>8</v>
      </c>
      <c r="F717">
        <v>671</v>
      </c>
    </row>
    <row r="718" spans="1:8">
      <c r="A718" t="s">
        <v>776</v>
      </c>
      <c r="B718">
        <v>2022</v>
      </c>
      <c r="C718" s="9">
        <v>44747</v>
      </c>
      <c r="D718" t="s">
        <v>7</v>
      </c>
      <c r="E718" t="s">
        <v>8</v>
      </c>
      <c r="F718">
        <v>447</v>
      </c>
    </row>
    <row r="719" spans="1:8">
      <c r="A719" t="s">
        <v>777</v>
      </c>
      <c r="B719">
        <v>2022</v>
      </c>
      <c r="C719" s="9">
        <v>44748</v>
      </c>
      <c r="D719" t="s">
        <v>10</v>
      </c>
      <c r="E719" t="s">
        <v>8</v>
      </c>
      <c r="F719">
        <v>830</v>
      </c>
    </row>
    <row r="720" spans="1:8">
      <c r="A720" t="s">
        <v>778</v>
      </c>
      <c r="B720">
        <v>2022</v>
      </c>
      <c r="C720" s="9">
        <v>44749</v>
      </c>
      <c r="D720" t="s">
        <v>13</v>
      </c>
      <c r="E720" t="s">
        <v>8</v>
      </c>
      <c r="F720">
        <v>272</v>
      </c>
    </row>
    <row r="721" spans="1:6">
      <c r="A721" t="s">
        <v>779</v>
      </c>
      <c r="B721">
        <v>2022</v>
      </c>
      <c r="C721" s="9">
        <v>44750</v>
      </c>
      <c r="D721" t="s">
        <v>18</v>
      </c>
      <c r="E721" t="s">
        <v>8</v>
      </c>
      <c r="F721">
        <v>639</v>
      </c>
    </row>
    <row r="722" spans="1:6">
      <c r="A722" t="s">
        <v>780</v>
      </c>
      <c r="B722">
        <v>2022</v>
      </c>
      <c r="C722" s="9">
        <v>44751</v>
      </c>
      <c r="D722" t="s">
        <v>20</v>
      </c>
      <c r="E722" t="s">
        <v>8</v>
      </c>
      <c r="F722">
        <v>58</v>
      </c>
    </row>
    <row r="723" spans="1:6">
      <c r="A723" t="s">
        <v>781</v>
      </c>
      <c r="B723">
        <v>2022</v>
      </c>
      <c r="C723" s="9">
        <v>44752</v>
      </c>
      <c r="D723" t="s">
        <v>22</v>
      </c>
      <c r="E723" t="s">
        <v>8</v>
      </c>
      <c r="F723">
        <v>0</v>
      </c>
    </row>
    <row r="724" spans="1:6">
      <c r="A724" t="s">
        <v>782</v>
      </c>
      <c r="B724">
        <v>2022</v>
      </c>
      <c r="C724" s="9">
        <v>44753</v>
      </c>
      <c r="D724" t="s">
        <v>24</v>
      </c>
      <c r="E724" t="s">
        <v>8</v>
      </c>
      <c r="F724">
        <v>0</v>
      </c>
    </row>
    <row r="725" spans="1:6">
      <c r="A725" t="s">
        <v>783</v>
      </c>
      <c r="B725">
        <v>2022</v>
      </c>
      <c r="C725" s="9">
        <v>44754</v>
      </c>
      <c r="D725" t="s">
        <v>7</v>
      </c>
      <c r="E725" t="s">
        <v>8</v>
      </c>
      <c r="F725">
        <v>649.20000000000005</v>
      </c>
    </row>
    <row r="726" spans="1:6">
      <c r="A726" t="s">
        <v>784</v>
      </c>
      <c r="B726">
        <v>2022</v>
      </c>
      <c r="C726" s="9">
        <v>44755</v>
      </c>
      <c r="D726" t="s">
        <v>10</v>
      </c>
      <c r="E726" t="s">
        <v>8</v>
      </c>
      <c r="F726">
        <v>459</v>
      </c>
    </row>
    <row r="727" spans="1:6">
      <c r="A727" t="s">
        <v>785</v>
      </c>
      <c r="B727">
        <v>2022</v>
      </c>
      <c r="C727" s="9">
        <v>44756</v>
      </c>
      <c r="D727" t="s">
        <v>13</v>
      </c>
      <c r="E727" t="s">
        <v>8</v>
      </c>
      <c r="F727">
        <v>0</v>
      </c>
    </row>
    <row r="728" spans="1:6">
      <c r="A728" t="s">
        <v>786</v>
      </c>
      <c r="B728">
        <v>2022</v>
      </c>
      <c r="C728" s="9">
        <v>44757</v>
      </c>
      <c r="D728" t="s">
        <v>18</v>
      </c>
      <c r="E728" t="s">
        <v>8</v>
      </c>
      <c r="F728">
        <v>1007</v>
      </c>
    </row>
    <row r="729" spans="1:6">
      <c r="A729" t="s">
        <v>787</v>
      </c>
      <c r="B729">
        <v>2022</v>
      </c>
      <c r="C729" s="9">
        <v>44758</v>
      </c>
      <c r="D729" t="s">
        <v>20</v>
      </c>
      <c r="E729" t="s">
        <v>8</v>
      </c>
      <c r="F729">
        <v>839.2</v>
      </c>
    </row>
    <row r="730" spans="1:6">
      <c r="A730" t="s">
        <v>788</v>
      </c>
      <c r="B730">
        <v>2022</v>
      </c>
      <c r="C730" s="9">
        <v>44759</v>
      </c>
      <c r="D730" t="s">
        <v>22</v>
      </c>
      <c r="E730" t="s">
        <v>8</v>
      </c>
      <c r="F730">
        <v>0</v>
      </c>
    </row>
    <row r="731" spans="1:6">
      <c r="A731" t="s">
        <v>789</v>
      </c>
      <c r="B731">
        <v>2022</v>
      </c>
      <c r="C731" s="9">
        <v>44760</v>
      </c>
      <c r="D731" t="s">
        <v>24</v>
      </c>
      <c r="E731" t="s">
        <v>8</v>
      </c>
      <c r="F731">
        <v>0</v>
      </c>
    </row>
    <row r="732" spans="1:6">
      <c r="A732" t="s">
        <v>790</v>
      </c>
      <c r="B732">
        <v>2022</v>
      </c>
      <c r="C732" s="9">
        <v>44761</v>
      </c>
      <c r="D732" t="s">
        <v>7</v>
      </c>
      <c r="E732" t="s">
        <v>8</v>
      </c>
      <c r="F732">
        <v>515</v>
      </c>
    </row>
    <row r="733" spans="1:6">
      <c r="A733" t="s">
        <v>791</v>
      </c>
      <c r="B733">
        <v>2022</v>
      </c>
      <c r="C733" s="9">
        <v>44762</v>
      </c>
      <c r="D733" t="s">
        <v>10</v>
      </c>
      <c r="E733" t="s">
        <v>8</v>
      </c>
      <c r="F733">
        <v>681</v>
      </c>
    </row>
    <row r="734" spans="1:6">
      <c r="A734" t="s">
        <v>792</v>
      </c>
      <c r="B734">
        <v>2022</v>
      </c>
      <c r="C734" s="9">
        <v>44763</v>
      </c>
      <c r="D734" t="s">
        <v>13</v>
      </c>
      <c r="E734" t="s">
        <v>8</v>
      </c>
      <c r="F734">
        <v>678</v>
      </c>
    </row>
    <row r="735" spans="1:6">
      <c r="A735" t="s">
        <v>793</v>
      </c>
      <c r="B735">
        <v>2022</v>
      </c>
      <c r="C735" s="9">
        <v>44764</v>
      </c>
      <c r="D735" t="s">
        <v>18</v>
      </c>
      <c r="E735" t="s">
        <v>8</v>
      </c>
      <c r="F735">
        <v>406.2</v>
      </c>
    </row>
    <row r="736" spans="1:6">
      <c r="A736" t="s">
        <v>794</v>
      </c>
      <c r="B736">
        <v>2022</v>
      </c>
      <c r="C736" s="9">
        <v>44765</v>
      </c>
      <c r="D736" t="s">
        <v>20</v>
      </c>
      <c r="E736" t="s">
        <v>8</v>
      </c>
      <c r="F736">
        <v>691</v>
      </c>
    </row>
    <row r="737" spans="1:6">
      <c r="A737" t="s">
        <v>795</v>
      </c>
      <c r="B737">
        <v>2022</v>
      </c>
      <c r="C737" s="9">
        <v>44766</v>
      </c>
      <c r="D737" t="s">
        <v>22</v>
      </c>
      <c r="E737" t="s">
        <v>8</v>
      </c>
      <c r="F737">
        <v>0</v>
      </c>
    </row>
    <row r="738" spans="1:6">
      <c r="A738" t="s">
        <v>796</v>
      </c>
      <c r="B738">
        <v>2022</v>
      </c>
      <c r="C738" s="9">
        <v>44767</v>
      </c>
      <c r="D738" t="s">
        <v>24</v>
      </c>
      <c r="E738" t="s">
        <v>8</v>
      </c>
      <c r="F738">
        <v>0</v>
      </c>
    </row>
    <row r="739" spans="1:6">
      <c r="A739" t="s">
        <v>797</v>
      </c>
      <c r="B739">
        <v>2022</v>
      </c>
      <c r="C739" s="9">
        <v>44768</v>
      </c>
      <c r="D739" t="s">
        <v>7</v>
      </c>
      <c r="E739" t="s">
        <v>8</v>
      </c>
      <c r="F739">
        <v>816.8</v>
      </c>
    </row>
    <row r="740" spans="1:6">
      <c r="A740" t="s">
        <v>798</v>
      </c>
      <c r="B740">
        <v>2022</v>
      </c>
      <c r="C740" s="9">
        <v>44769</v>
      </c>
      <c r="D740" t="s">
        <v>10</v>
      </c>
      <c r="E740" t="s">
        <v>8</v>
      </c>
      <c r="F740">
        <v>876.2</v>
      </c>
    </row>
    <row r="741" spans="1:6">
      <c r="A741" t="s">
        <v>799</v>
      </c>
      <c r="B741">
        <v>2022</v>
      </c>
      <c r="C741" s="9">
        <v>44770</v>
      </c>
      <c r="D741" t="s">
        <v>13</v>
      </c>
      <c r="E741" t="s">
        <v>8</v>
      </c>
      <c r="F741">
        <v>951.5</v>
      </c>
    </row>
    <row r="742" spans="1:6">
      <c r="A742" t="s">
        <v>800</v>
      </c>
      <c r="B742">
        <v>2022</v>
      </c>
      <c r="C742" s="9">
        <v>44771</v>
      </c>
      <c r="D742" t="s">
        <v>18</v>
      </c>
      <c r="E742" t="s">
        <v>8</v>
      </c>
      <c r="F742">
        <v>719.2</v>
      </c>
    </row>
    <row r="743" spans="1:6">
      <c r="A743" t="s">
        <v>801</v>
      </c>
      <c r="B743">
        <v>2022</v>
      </c>
      <c r="C743" s="9">
        <v>44772</v>
      </c>
      <c r="D743" t="s">
        <v>20</v>
      </c>
      <c r="E743" t="s">
        <v>8</v>
      </c>
      <c r="F743">
        <v>563</v>
      </c>
    </row>
    <row r="744" spans="1:6">
      <c r="A744" t="s">
        <v>802</v>
      </c>
      <c r="B744">
        <v>2022</v>
      </c>
      <c r="C744" s="9">
        <v>44773</v>
      </c>
      <c r="D744" t="s">
        <v>22</v>
      </c>
      <c r="E744" t="s">
        <v>8</v>
      </c>
      <c r="F744">
        <v>0</v>
      </c>
    </row>
    <row r="745" spans="1:6">
      <c r="A745" t="s">
        <v>803</v>
      </c>
      <c r="B745">
        <v>2022</v>
      </c>
      <c r="C745" s="9">
        <v>44774</v>
      </c>
      <c r="D745" t="s">
        <v>24</v>
      </c>
      <c r="E745" t="s">
        <v>234</v>
      </c>
      <c r="F745">
        <v>0</v>
      </c>
    </row>
    <row r="746" spans="1:6">
      <c r="A746" t="s">
        <v>804</v>
      </c>
      <c r="B746">
        <v>2022</v>
      </c>
      <c r="C746" s="9">
        <v>44775</v>
      </c>
      <c r="D746" t="s">
        <v>7</v>
      </c>
      <c r="E746" t="s">
        <v>234</v>
      </c>
      <c r="F746">
        <v>354</v>
      </c>
    </row>
    <row r="747" spans="1:6">
      <c r="A747" t="s">
        <v>805</v>
      </c>
      <c r="B747">
        <v>2022</v>
      </c>
      <c r="C747" s="9">
        <v>44776</v>
      </c>
      <c r="D747" t="s">
        <v>10</v>
      </c>
      <c r="E747" t="s">
        <v>234</v>
      </c>
      <c r="F747">
        <v>530.6</v>
      </c>
    </row>
    <row r="748" spans="1:6">
      <c r="A748" t="s">
        <v>806</v>
      </c>
      <c r="B748">
        <v>2022</v>
      </c>
      <c r="C748" s="9">
        <v>44777</v>
      </c>
      <c r="D748" t="s">
        <v>13</v>
      </c>
      <c r="E748" t="s">
        <v>234</v>
      </c>
      <c r="F748">
        <v>532</v>
      </c>
    </row>
    <row r="749" spans="1:6">
      <c r="A749" t="s">
        <v>807</v>
      </c>
      <c r="B749">
        <v>2022</v>
      </c>
      <c r="C749" s="9">
        <v>44778</v>
      </c>
      <c r="D749" t="s">
        <v>18</v>
      </c>
      <c r="E749" t="s">
        <v>234</v>
      </c>
      <c r="F749">
        <v>590</v>
      </c>
    </row>
    <row r="750" spans="1:6">
      <c r="A750" t="s">
        <v>808</v>
      </c>
      <c r="B750">
        <v>2022</v>
      </c>
      <c r="C750" s="9">
        <v>44779</v>
      </c>
      <c r="D750" t="s">
        <v>20</v>
      </c>
      <c r="E750" t="s">
        <v>234</v>
      </c>
      <c r="F750">
        <v>193</v>
      </c>
    </row>
    <row r="751" spans="1:6">
      <c r="A751" t="s">
        <v>809</v>
      </c>
      <c r="B751">
        <v>2022</v>
      </c>
      <c r="C751" s="9">
        <v>44780</v>
      </c>
      <c r="D751" t="s">
        <v>22</v>
      </c>
      <c r="E751" t="s">
        <v>234</v>
      </c>
      <c r="F751">
        <v>0</v>
      </c>
    </row>
    <row r="752" spans="1:6">
      <c r="A752" t="s">
        <v>810</v>
      </c>
      <c r="B752">
        <v>2022</v>
      </c>
      <c r="C752" s="9">
        <v>44781</v>
      </c>
      <c r="D752" t="s">
        <v>24</v>
      </c>
      <c r="E752" t="s">
        <v>234</v>
      </c>
      <c r="F752">
        <v>0</v>
      </c>
    </row>
    <row r="753" spans="1:6">
      <c r="A753" t="s">
        <v>811</v>
      </c>
      <c r="B753">
        <v>2022</v>
      </c>
      <c r="C753" s="9">
        <v>44782</v>
      </c>
      <c r="D753" t="s">
        <v>7</v>
      </c>
      <c r="E753" t="s">
        <v>234</v>
      </c>
      <c r="F753">
        <v>502</v>
      </c>
    </row>
    <row r="754" spans="1:6">
      <c r="A754" t="s">
        <v>812</v>
      </c>
      <c r="B754">
        <v>2022</v>
      </c>
      <c r="C754" s="9">
        <v>44783</v>
      </c>
      <c r="D754" t="s">
        <v>10</v>
      </c>
      <c r="E754" t="s">
        <v>234</v>
      </c>
      <c r="F754">
        <v>796</v>
      </c>
    </row>
    <row r="755" spans="1:6">
      <c r="A755" t="s">
        <v>813</v>
      </c>
      <c r="B755">
        <v>2022</v>
      </c>
      <c r="C755" s="9">
        <v>44784</v>
      </c>
      <c r="D755" t="s">
        <v>13</v>
      </c>
      <c r="E755" t="s">
        <v>234</v>
      </c>
      <c r="F755">
        <v>854.2</v>
      </c>
    </row>
    <row r="756" spans="1:6">
      <c r="A756" t="s">
        <v>814</v>
      </c>
      <c r="B756">
        <v>2022</v>
      </c>
      <c r="C756" s="9">
        <v>44785</v>
      </c>
      <c r="D756" t="s">
        <v>18</v>
      </c>
      <c r="E756" t="s">
        <v>234</v>
      </c>
      <c r="F756">
        <v>471</v>
      </c>
    </row>
    <row r="757" spans="1:6">
      <c r="A757" t="s">
        <v>815</v>
      </c>
      <c r="B757">
        <v>2022</v>
      </c>
      <c r="C757" s="9">
        <v>44786</v>
      </c>
      <c r="D757" t="s">
        <v>20</v>
      </c>
      <c r="E757" t="s">
        <v>234</v>
      </c>
      <c r="F757">
        <v>62.5</v>
      </c>
    </row>
    <row r="758" spans="1:6">
      <c r="A758" t="s">
        <v>816</v>
      </c>
      <c r="B758">
        <v>2022</v>
      </c>
      <c r="C758" s="9">
        <v>44787</v>
      </c>
      <c r="D758" t="s">
        <v>22</v>
      </c>
      <c r="E758" t="s">
        <v>234</v>
      </c>
      <c r="F758">
        <v>0</v>
      </c>
    </row>
    <row r="759" spans="1:6">
      <c r="A759" t="s">
        <v>817</v>
      </c>
      <c r="B759">
        <v>2022</v>
      </c>
      <c r="C759" s="9">
        <v>44788</v>
      </c>
      <c r="D759" t="s">
        <v>24</v>
      </c>
      <c r="E759" t="s">
        <v>234</v>
      </c>
      <c r="F759">
        <v>0</v>
      </c>
    </row>
    <row r="760" spans="1:6">
      <c r="A760" t="s">
        <v>818</v>
      </c>
      <c r="B760">
        <v>2022</v>
      </c>
      <c r="C760" s="9">
        <v>44789</v>
      </c>
      <c r="D760" t="s">
        <v>7</v>
      </c>
      <c r="E760" t="s">
        <v>234</v>
      </c>
      <c r="F760">
        <v>329</v>
      </c>
    </row>
    <row r="761" spans="1:6">
      <c r="A761" t="s">
        <v>819</v>
      </c>
      <c r="B761">
        <v>2022</v>
      </c>
      <c r="C761" s="9">
        <v>44790</v>
      </c>
      <c r="D761" t="s">
        <v>10</v>
      </c>
      <c r="E761" t="s">
        <v>234</v>
      </c>
      <c r="F761">
        <v>450</v>
      </c>
    </row>
    <row r="762" spans="1:6">
      <c r="A762" t="s">
        <v>820</v>
      </c>
      <c r="B762">
        <v>2022</v>
      </c>
      <c r="C762" s="9">
        <v>44791</v>
      </c>
      <c r="D762" t="s">
        <v>13</v>
      </c>
      <c r="E762" t="s">
        <v>234</v>
      </c>
      <c r="F762">
        <v>751</v>
      </c>
    </row>
    <row r="763" spans="1:6">
      <c r="A763" t="s">
        <v>821</v>
      </c>
      <c r="B763">
        <v>2022</v>
      </c>
      <c r="C763" s="9">
        <v>44792</v>
      </c>
      <c r="D763" t="s">
        <v>18</v>
      </c>
      <c r="E763" t="s">
        <v>234</v>
      </c>
      <c r="F763">
        <v>610</v>
      </c>
    </row>
    <row r="764" spans="1:6">
      <c r="A764" t="s">
        <v>822</v>
      </c>
      <c r="B764">
        <v>2022</v>
      </c>
      <c r="C764" s="9">
        <v>44793</v>
      </c>
      <c r="D764" t="s">
        <v>20</v>
      </c>
      <c r="E764" t="s">
        <v>234</v>
      </c>
      <c r="F764">
        <v>597</v>
      </c>
    </row>
    <row r="765" spans="1:6">
      <c r="A765" t="s">
        <v>823</v>
      </c>
      <c r="B765">
        <v>2022</v>
      </c>
      <c r="C765" s="9">
        <v>44794</v>
      </c>
      <c r="D765" t="s">
        <v>22</v>
      </c>
      <c r="E765" t="s">
        <v>234</v>
      </c>
      <c r="F765">
        <v>0</v>
      </c>
    </row>
    <row r="766" spans="1:6">
      <c r="A766" t="s">
        <v>824</v>
      </c>
      <c r="B766">
        <v>2022</v>
      </c>
      <c r="C766" s="9">
        <v>44795</v>
      </c>
      <c r="D766" t="s">
        <v>24</v>
      </c>
      <c r="E766" t="s">
        <v>234</v>
      </c>
      <c r="F766">
        <v>0</v>
      </c>
    </row>
    <row r="767" spans="1:6">
      <c r="A767" t="s">
        <v>825</v>
      </c>
      <c r="B767">
        <v>2022</v>
      </c>
      <c r="C767" s="9">
        <v>44796</v>
      </c>
      <c r="D767" t="s">
        <v>7</v>
      </c>
      <c r="E767" t="s">
        <v>234</v>
      </c>
      <c r="F767">
        <v>864</v>
      </c>
    </row>
    <row r="768" spans="1:6">
      <c r="A768" t="s">
        <v>826</v>
      </c>
      <c r="B768">
        <v>2022</v>
      </c>
      <c r="C768" s="9">
        <v>44797</v>
      </c>
      <c r="D768" t="s">
        <v>10</v>
      </c>
      <c r="E768" t="s">
        <v>234</v>
      </c>
      <c r="F768">
        <v>1077</v>
      </c>
    </row>
    <row r="769" spans="1:6">
      <c r="A769" t="s">
        <v>827</v>
      </c>
      <c r="B769">
        <v>2022</v>
      </c>
      <c r="C769" s="9">
        <v>44798</v>
      </c>
      <c r="D769" t="s">
        <v>13</v>
      </c>
      <c r="E769" t="s">
        <v>234</v>
      </c>
      <c r="F769">
        <v>978.6</v>
      </c>
    </row>
    <row r="770" spans="1:6">
      <c r="A770" t="s">
        <v>828</v>
      </c>
      <c r="B770">
        <v>2022</v>
      </c>
      <c r="C770" s="9">
        <v>44799</v>
      </c>
      <c r="D770" t="s">
        <v>18</v>
      </c>
      <c r="E770" t="s">
        <v>234</v>
      </c>
      <c r="F770">
        <v>990</v>
      </c>
    </row>
    <row r="771" spans="1:6">
      <c r="A771" t="s">
        <v>829</v>
      </c>
      <c r="B771">
        <v>2022</v>
      </c>
      <c r="C771" s="9">
        <v>44800</v>
      </c>
      <c r="D771" t="s">
        <v>20</v>
      </c>
      <c r="E771" t="s">
        <v>234</v>
      </c>
      <c r="F771">
        <v>786.2</v>
      </c>
    </row>
    <row r="772" spans="1:6">
      <c r="A772" t="s">
        <v>830</v>
      </c>
      <c r="B772">
        <v>2022</v>
      </c>
      <c r="C772" s="9">
        <v>44801</v>
      </c>
      <c r="D772" t="s">
        <v>22</v>
      </c>
      <c r="E772" t="s">
        <v>234</v>
      </c>
      <c r="F772">
        <v>0</v>
      </c>
    </row>
    <row r="773" spans="1:6">
      <c r="A773" t="s">
        <v>831</v>
      </c>
      <c r="B773">
        <v>2022</v>
      </c>
      <c r="C773" s="9">
        <v>44802</v>
      </c>
      <c r="D773" t="s">
        <v>24</v>
      </c>
      <c r="E773" t="s">
        <v>234</v>
      </c>
      <c r="F773">
        <v>0</v>
      </c>
    </row>
    <row r="774" spans="1:6">
      <c r="A774" t="s">
        <v>832</v>
      </c>
      <c r="B774">
        <v>2022</v>
      </c>
      <c r="C774" s="9">
        <v>44803</v>
      </c>
      <c r="D774" t="s">
        <v>7</v>
      </c>
      <c r="E774" t="s">
        <v>234</v>
      </c>
      <c r="F774">
        <v>969.4</v>
      </c>
    </row>
    <row r="775" spans="1:6">
      <c r="A775" t="s">
        <v>833</v>
      </c>
      <c r="B775">
        <v>2022</v>
      </c>
      <c r="C775" s="9">
        <v>44804</v>
      </c>
      <c r="D775" t="s">
        <v>10</v>
      </c>
      <c r="E775" t="s">
        <v>234</v>
      </c>
      <c r="F775">
        <v>634</v>
      </c>
    </row>
    <row r="776" spans="1:6">
      <c r="A776" t="s">
        <v>834</v>
      </c>
      <c r="B776">
        <v>2022</v>
      </c>
      <c r="C776" s="9">
        <v>44805</v>
      </c>
      <c r="D776" t="s">
        <v>13</v>
      </c>
      <c r="E776" t="s">
        <v>265</v>
      </c>
      <c r="F776">
        <v>844</v>
      </c>
    </row>
    <row r="777" spans="1:6">
      <c r="A777" t="s">
        <v>835</v>
      </c>
      <c r="B777">
        <v>2022</v>
      </c>
      <c r="C777" s="9">
        <v>44806</v>
      </c>
      <c r="D777" t="s">
        <v>18</v>
      </c>
      <c r="E777" t="s">
        <v>265</v>
      </c>
      <c r="F777">
        <v>522</v>
      </c>
    </row>
    <row r="778" spans="1:6">
      <c r="A778" t="s">
        <v>836</v>
      </c>
      <c r="B778">
        <v>2022</v>
      </c>
      <c r="C778" s="9">
        <v>44807</v>
      </c>
      <c r="D778" t="s">
        <v>20</v>
      </c>
      <c r="E778" t="s">
        <v>265</v>
      </c>
      <c r="F778">
        <v>504.2</v>
      </c>
    </row>
    <row r="779" spans="1:6">
      <c r="A779" t="s">
        <v>837</v>
      </c>
      <c r="B779">
        <v>2022</v>
      </c>
      <c r="C779" s="9">
        <v>44808</v>
      </c>
      <c r="D779" t="s">
        <v>22</v>
      </c>
      <c r="E779" t="s">
        <v>265</v>
      </c>
      <c r="F779">
        <v>0</v>
      </c>
    </row>
    <row r="780" spans="1:6">
      <c r="A780" t="s">
        <v>838</v>
      </c>
      <c r="B780">
        <v>2022</v>
      </c>
      <c r="C780" s="9">
        <v>44809</v>
      </c>
      <c r="D780" t="s">
        <v>24</v>
      </c>
      <c r="E780" t="s">
        <v>265</v>
      </c>
      <c r="F780">
        <v>0</v>
      </c>
    </row>
    <row r="781" spans="1:6">
      <c r="A781" t="s">
        <v>839</v>
      </c>
      <c r="B781">
        <v>2022</v>
      </c>
      <c r="C781" s="9">
        <v>44810</v>
      </c>
      <c r="D781" t="s">
        <v>7</v>
      </c>
      <c r="E781" t="s">
        <v>265</v>
      </c>
      <c r="F781">
        <v>620</v>
      </c>
    </row>
    <row r="782" spans="1:6">
      <c r="A782" t="s">
        <v>840</v>
      </c>
      <c r="B782">
        <v>2022</v>
      </c>
      <c r="C782" s="9">
        <v>44811</v>
      </c>
      <c r="D782" t="s">
        <v>10</v>
      </c>
      <c r="E782" t="s">
        <v>265</v>
      </c>
      <c r="F782">
        <v>964</v>
      </c>
    </row>
    <row r="783" spans="1:6">
      <c r="A783" t="s">
        <v>841</v>
      </c>
      <c r="B783">
        <v>2022</v>
      </c>
      <c r="C783" s="9">
        <v>44812</v>
      </c>
      <c r="D783" t="s">
        <v>13</v>
      </c>
      <c r="E783" t="s">
        <v>265</v>
      </c>
      <c r="F783">
        <v>1076</v>
      </c>
    </row>
    <row r="784" spans="1:6">
      <c r="A784" t="s">
        <v>842</v>
      </c>
      <c r="B784">
        <v>2022</v>
      </c>
      <c r="C784" s="9">
        <v>44813</v>
      </c>
      <c r="D784" t="s">
        <v>18</v>
      </c>
      <c r="E784" t="s">
        <v>265</v>
      </c>
      <c r="F784">
        <v>455</v>
      </c>
    </row>
    <row r="785" spans="1:6">
      <c r="A785" t="s">
        <v>843</v>
      </c>
      <c r="B785">
        <v>2022</v>
      </c>
      <c r="C785" s="9">
        <v>44814</v>
      </c>
      <c r="D785" t="s">
        <v>20</v>
      </c>
      <c r="E785" t="s">
        <v>265</v>
      </c>
      <c r="F785">
        <v>449</v>
      </c>
    </row>
    <row r="786" spans="1:6">
      <c r="A786" t="s">
        <v>844</v>
      </c>
      <c r="B786">
        <v>2022</v>
      </c>
      <c r="C786" s="9">
        <v>44815</v>
      </c>
      <c r="D786" t="s">
        <v>22</v>
      </c>
      <c r="E786" t="s">
        <v>265</v>
      </c>
      <c r="F786">
        <v>0</v>
      </c>
    </row>
    <row r="787" spans="1:6">
      <c r="A787" t="s">
        <v>845</v>
      </c>
      <c r="B787">
        <v>2022</v>
      </c>
      <c r="C787" s="9">
        <v>44816</v>
      </c>
      <c r="D787" t="s">
        <v>24</v>
      </c>
      <c r="E787" t="s">
        <v>265</v>
      </c>
      <c r="F787">
        <v>0</v>
      </c>
    </row>
    <row r="788" spans="1:6">
      <c r="A788" t="s">
        <v>846</v>
      </c>
      <c r="B788">
        <v>2022</v>
      </c>
      <c r="C788" s="9">
        <v>44817</v>
      </c>
      <c r="D788" t="s">
        <v>7</v>
      </c>
      <c r="E788" t="s">
        <v>265</v>
      </c>
      <c r="F788">
        <v>797</v>
      </c>
    </row>
    <row r="789" spans="1:6">
      <c r="A789" t="s">
        <v>847</v>
      </c>
      <c r="B789">
        <v>2022</v>
      </c>
      <c r="C789" s="9">
        <v>44818</v>
      </c>
      <c r="D789" t="s">
        <v>10</v>
      </c>
      <c r="E789" t="s">
        <v>265</v>
      </c>
      <c r="F789">
        <v>906</v>
      </c>
    </row>
    <row r="790" spans="1:6">
      <c r="A790" t="s">
        <v>848</v>
      </c>
      <c r="B790">
        <v>2022</v>
      </c>
      <c r="C790" s="9">
        <v>44819</v>
      </c>
      <c r="D790" t="s">
        <v>13</v>
      </c>
      <c r="E790" t="s">
        <v>265</v>
      </c>
      <c r="F790">
        <v>464</v>
      </c>
    </row>
    <row r="791" spans="1:6">
      <c r="A791" t="s">
        <v>849</v>
      </c>
      <c r="B791">
        <v>2022</v>
      </c>
      <c r="C791" s="9">
        <v>44820</v>
      </c>
      <c r="D791" t="s">
        <v>18</v>
      </c>
      <c r="E791" t="s">
        <v>265</v>
      </c>
      <c r="F791">
        <v>730</v>
      </c>
    </row>
    <row r="792" spans="1:6">
      <c r="A792" t="s">
        <v>850</v>
      </c>
      <c r="B792">
        <v>2022</v>
      </c>
      <c r="C792" s="9">
        <v>44821</v>
      </c>
      <c r="D792" t="s">
        <v>20</v>
      </c>
      <c r="E792" t="s">
        <v>265</v>
      </c>
      <c r="F792">
        <v>792</v>
      </c>
    </row>
    <row r="793" spans="1:6">
      <c r="A793" t="s">
        <v>851</v>
      </c>
      <c r="B793">
        <v>2022</v>
      </c>
      <c r="C793" s="9">
        <v>44822</v>
      </c>
      <c r="D793" t="s">
        <v>22</v>
      </c>
      <c r="E793" t="s">
        <v>265</v>
      </c>
      <c r="F793">
        <v>0</v>
      </c>
    </row>
    <row r="794" spans="1:6">
      <c r="A794" t="s">
        <v>852</v>
      </c>
      <c r="B794">
        <v>2022</v>
      </c>
      <c r="C794" s="9">
        <v>44823</v>
      </c>
      <c r="D794" t="s">
        <v>24</v>
      </c>
      <c r="E794" t="s">
        <v>265</v>
      </c>
      <c r="F794">
        <v>0</v>
      </c>
    </row>
    <row r="795" spans="1:6">
      <c r="A795" t="s">
        <v>853</v>
      </c>
      <c r="B795">
        <v>2022</v>
      </c>
      <c r="C795" s="9">
        <v>44824</v>
      </c>
      <c r="D795" t="s">
        <v>7</v>
      </c>
      <c r="E795" t="s">
        <v>265</v>
      </c>
      <c r="F795">
        <v>494</v>
      </c>
    </row>
    <row r="796" spans="1:6">
      <c r="A796" t="s">
        <v>854</v>
      </c>
      <c r="B796">
        <v>2022</v>
      </c>
      <c r="C796" s="9">
        <v>44825</v>
      </c>
      <c r="D796" t="s">
        <v>10</v>
      </c>
      <c r="E796" t="s">
        <v>265</v>
      </c>
      <c r="F796">
        <v>881</v>
      </c>
    </row>
    <row r="797" spans="1:6">
      <c r="A797" t="s">
        <v>855</v>
      </c>
      <c r="B797">
        <v>2022</v>
      </c>
      <c r="C797" s="9">
        <v>44826</v>
      </c>
      <c r="D797" t="s">
        <v>13</v>
      </c>
      <c r="E797" t="s">
        <v>265</v>
      </c>
      <c r="F797">
        <v>908.4</v>
      </c>
    </row>
    <row r="798" spans="1:6">
      <c r="A798" t="s">
        <v>856</v>
      </c>
      <c r="B798">
        <v>2022</v>
      </c>
      <c r="C798" s="9">
        <v>44827</v>
      </c>
      <c r="D798" t="s">
        <v>18</v>
      </c>
      <c r="E798" t="s">
        <v>265</v>
      </c>
      <c r="F798">
        <v>809.2</v>
      </c>
    </row>
    <row r="799" spans="1:6">
      <c r="A799" t="s">
        <v>857</v>
      </c>
      <c r="B799">
        <v>2022</v>
      </c>
      <c r="C799" s="9">
        <v>44828</v>
      </c>
      <c r="D799" t="s">
        <v>20</v>
      </c>
      <c r="E799" t="s">
        <v>265</v>
      </c>
      <c r="F799">
        <v>147</v>
      </c>
    </row>
    <row r="800" spans="1:6">
      <c r="A800" t="s">
        <v>858</v>
      </c>
      <c r="B800">
        <v>2022</v>
      </c>
      <c r="C800" s="9">
        <v>44829</v>
      </c>
      <c r="D800" t="s">
        <v>22</v>
      </c>
      <c r="E800" t="s">
        <v>265</v>
      </c>
      <c r="F800">
        <v>0</v>
      </c>
    </row>
    <row r="801" spans="1:6">
      <c r="A801" t="s">
        <v>859</v>
      </c>
      <c r="B801">
        <v>2022</v>
      </c>
      <c r="C801" s="9">
        <v>44830</v>
      </c>
      <c r="D801" t="s">
        <v>24</v>
      </c>
      <c r="E801" t="s">
        <v>265</v>
      </c>
      <c r="F801">
        <v>0</v>
      </c>
    </row>
    <row r="802" spans="1:6">
      <c r="A802" t="s">
        <v>860</v>
      </c>
      <c r="B802">
        <v>2022</v>
      </c>
      <c r="C802" s="9">
        <v>44831</v>
      </c>
      <c r="D802" t="s">
        <v>7</v>
      </c>
      <c r="E802" t="s">
        <v>265</v>
      </c>
      <c r="F802">
        <v>458.8</v>
      </c>
    </row>
    <row r="803" spans="1:6">
      <c r="A803" t="s">
        <v>861</v>
      </c>
      <c r="B803">
        <v>2022</v>
      </c>
      <c r="C803" s="9">
        <v>44832</v>
      </c>
      <c r="D803" t="s">
        <v>10</v>
      </c>
      <c r="E803" t="s">
        <v>265</v>
      </c>
      <c r="F803">
        <v>803.8</v>
      </c>
    </row>
    <row r="804" spans="1:6">
      <c r="A804" t="s">
        <v>862</v>
      </c>
      <c r="B804">
        <v>2022</v>
      </c>
      <c r="C804" s="9">
        <v>44833</v>
      </c>
      <c r="D804" t="s">
        <v>13</v>
      </c>
      <c r="E804" t="s">
        <v>265</v>
      </c>
      <c r="F804">
        <v>477.8</v>
      </c>
    </row>
    <row r="805" spans="1:6">
      <c r="A805" t="s">
        <v>863</v>
      </c>
      <c r="B805">
        <v>2022</v>
      </c>
      <c r="C805" s="9">
        <v>44834</v>
      </c>
      <c r="D805" t="s">
        <v>18</v>
      </c>
      <c r="E805" t="s">
        <v>265</v>
      </c>
      <c r="F805">
        <v>618</v>
      </c>
    </row>
    <row r="806" spans="1:6">
      <c r="A806" t="s">
        <v>864</v>
      </c>
      <c r="B806">
        <v>2022</v>
      </c>
      <c r="C806" s="9">
        <v>44835</v>
      </c>
      <c r="D806" t="s">
        <v>20</v>
      </c>
      <c r="E806" t="s">
        <v>296</v>
      </c>
      <c r="F806">
        <v>428</v>
      </c>
    </row>
    <row r="807" spans="1:6">
      <c r="A807" t="s">
        <v>865</v>
      </c>
      <c r="B807">
        <v>2022</v>
      </c>
      <c r="C807" s="9">
        <v>44836</v>
      </c>
      <c r="D807" t="s">
        <v>22</v>
      </c>
      <c r="E807" t="s">
        <v>296</v>
      </c>
      <c r="F807">
        <v>0</v>
      </c>
    </row>
    <row r="808" spans="1:6">
      <c r="A808" t="s">
        <v>866</v>
      </c>
      <c r="B808">
        <v>2022</v>
      </c>
      <c r="C808" s="9">
        <v>44837</v>
      </c>
      <c r="D808" t="s">
        <v>24</v>
      </c>
      <c r="E808" t="s">
        <v>296</v>
      </c>
      <c r="F808">
        <v>0</v>
      </c>
    </row>
    <row r="809" spans="1:6">
      <c r="A809" t="s">
        <v>867</v>
      </c>
      <c r="B809">
        <v>2022</v>
      </c>
      <c r="C809" s="9">
        <v>44838</v>
      </c>
      <c r="D809" t="s">
        <v>7</v>
      </c>
      <c r="E809" t="s">
        <v>296</v>
      </c>
      <c r="F809">
        <v>912</v>
      </c>
    </row>
    <row r="810" spans="1:6">
      <c r="A810" t="s">
        <v>868</v>
      </c>
      <c r="B810">
        <v>2022</v>
      </c>
      <c r="C810" s="9">
        <v>44839</v>
      </c>
      <c r="D810" t="s">
        <v>10</v>
      </c>
      <c r="E810" t="s">
        <v>296</v>
      </c>
      <c r="F810">
        <v>573</v>
      </c>
    </row>
    <row r="811" spans="1:6">
      <c r="A811" t="s">
        <v>869</v>
      </c>
      <c r="B811">
        <v>2022</v>
      </c>
      <c r="C811" s="9">
        <v>44840</v>
      </c>
      <c r="D811" t="s">
        <v>13</v>
      </c>
      <c r="E811" t="s">
        <v>296</v>
      </c>
      <c r="F811">
        <v>681.2</v>
      </c>
    </row>
    <row r="812" spans="1:6">
      <c r="A812" t="s">
        <v>870</v>
      </c>
      <c r="B812">
        <v>2022</v>
      </c>
      <c r="C812" s="9">
        <v>44841</v>
      </c>
      <c r="D812" t="s">
        <v>18</v>
      </c>
      <c r="E812" t="s">
        <v>296</v>
      </c>
      <c r="F812">
        <v>435.8</v>
      </c>
    </row>
    <row r="813" spans="1:6">
      <c r="A813" t="s">
        <v>871</v>
      </c>
      <c r="B813">
        <v>2022</v>
      </c>
      <c r="C813" s="9">
        <v>44842</v>
      </c>
      <c r="D813" t="s">
        <v>20</v>
      </c>
      <c r="E813" t="s">
        <v>296</v>
      </c>
      <c r="F813">
        <v>513</v>
      </c>
    </row>
    <row r="814" spans="1:6">
      <c r="A814" t="s">
        <v>872</v>
      </c>
      <c r="B814">
        <v>2022</v>
      </c>
      <c r="C814" s="9">
        <v>44843</v>
      </c>
      <c r="D814" t="s">
        <v>22</v>
      </c>
      <c r="E814" t="s">
        <v>296</v>
      </c>
      <c r="F814">
        <v>0</v>
      </c>
    </row>
    <row r="815" spans="1:6">
      <c r="A815" t="s">
        <v>873</v>
      </c>
      <c r="B815">
        <v>2022</v>
      </c>
      <c r="C815" s="9">
        <v>44844</v>
      </c>
      <c r="D815" t="s">
        <v>24</v>
      </c>
      <c r="E815" t="s">
        <v>296</v>
      </c>
      <c r="F815">
        <v>0</v>
      </c>
    </row>
    <row r="816" spans="1:6">
      <c r="A816" t="s">
        <v>874</v>
      </c>
      <c r="B816">
        <v>2022</v>
      </c>
      <c r="C816" s="9">
        <v>44845</v>
      </c>
      <c r="D816" t="s">
        <v>7</v>
      </c>
      <c r="E816" t="s">
        <v>296</v>
      </c>
      <c r="F816">
        <v>454.4</v>
      </c>
    </row>
    <row r="817" spans="1:6">
      <c r="A817" t="s">
        <v>875</v>
      </c>
      <c r="B817">
        <v>2022</v>
      </c>
      <c r="C817" s="9">
        <v>44846</v>
      </c>
      <c r="D817" t="s">
        <v>10</v>
      </c>
      <c r="E817" t="s">
        <v>296</v>
      </c>
      <c r="F817">
        <v>561</v>
      </c>
    </row>
    <row r="818" spans="1:6">
      <c r="A818" t="s">
        <v>876</v>
      </c>
      <c r="B818">
        <v>2022</v>
      </c>
      <c r="C818" s="9">
        <v>44847</v>
      </c>
      <c r="D818" t="s">
        <v>13</v>
      </c>
      <c r="E818" t="s">
        <v>296</v>
      </c>
      <c r="F818">
        <v>340</v>
      </c>
    </row>
    <row r="819" spans="1:6">
      <c r="A819" t="s">
        <v>877</v>
      </c>
      <c r="B819">
        <v>2022</v>
      </c>
      <c r="C819" s="9">
        <v>44848</v>
      </c>
      <c r="D819" t="s">
        <v>18</v>
      </c>
      <c r="E819" t="s">
        <v>296</v>
      </c>
      <c r="F819">
        <v>641</v>
      </c>
    </row>
    <row r="820" spans="1:6">
      <c r="A820" t="s">
        <v>878</v>
      </c>
      <c r="B820">
        <v>2022</v>
      </c>
      <c r="C820" s="9">
        <v>44849</v>
      </c>
      <c r="D820" t="s">
        <v>20</v>
      </c>
      <c r="E820" t="s">
        <v>296</v>
      </c>
      <c r="F820">
        <v>205</v>
      </c>
    </row>
    <row r="821" spans="1:6">
      <c r="A821" t="s">
        <v>879</v>
      </c>
      <c r="B821">
        <v>2022</v>
      </c>
      <c r="C821" s="9">
        <v>44850</v>
      </c>
      <c r="D821" t="s">
        <v>22</v>
      </c>
      <c r="E821" t="s">
        <v>296</v>
      </c>
      <c r="F821">
        <v>0</v>
      </c>
    </row>
    <row r="822" spans="1:6">
      <c r="A822" t="s">
        <v>880</v>
      </c>
      <c r="B822">
        <v>2022</v>
      </c>
      <c r="C822" s="9">
        <v>44851</v>
      </c>
      <c r="D822" t="s">
        <v>24</v>
      </c>
      <c r="E822" t="s">
        <v>296</v>
      </c>
      <c r="F822">
        <v>0</v>
      </c>
    </row>
    <row r="823" spans="1:6">
      <c r="A823" t="s">
        <v>881</v>
      </c>
      <c r="B823">
        <v>2022</v>
      </c>
      <c r="C823" s="9">
        <v>44852</v>
      </c>
      <c r="D823" t="s">
        <v>7</v>
      </c>
      <c r="E823" t="s">
        <v>296</v>
      </c>
      <c r="F823">
        <v>465</v>
      </c>
    </row>
    <row r="824" spans="1:6">
      <c r="A824" t="s">
        <v>882</v>
      </c>
      <c r="B824">
        <v>2022</v>
      </c>
      <c r="C824" s="9">
        <v>44853</v>
      </c>
      <c r="D824" t="s">
        <v>10</v>
      </c>
      <c r="E824" t="s">
        <v>296</v>
      </c>
      <c r="F824">
        <v>586</v>
      </c>
    </row>
    <row r="825" spans="1:6">
      <c r="A825" t="s">
        <v>883</v>
      </c>
      <c r="B825">
        <v>2022</v>
      </c>
      <c r="C825" s="9">
        <v>44854</v>
      </c>
      <c r="D825" t="s">
        <v>13</v>
      </c>
      <c r="E825" t="s">
        <v>296</v>
      </c>
      <c r="F825">
        <v>520.6</v>
      </c>
    </row>
    <row r="826" spans="1:6">
      <c r="A826" t="s">
        <v>884</v>
      </c>
      <c r="B826">
        <v>2022</v>
      </c>
      <c r="C826" s="9">
        <v>44855</v>
      </c>
      <c r="D826" t="s">
        <v>18</v>
      </c>
      <c r="E826" t="s">
        <v>296</v>
      </c>
      <c r="F826">
        <v>600.6</v>
      </c>
    </row>
    <row r="827" spans="1:6">
      <c r="A827" t="s">
        <v>885</v>
      </c>
      <c r="B827">
        <v>2022</v>
      </c>
      <c r="C827" s="9">
        <v>44856</v>
      </c>
      <c r="D827" t="s">
        <v>20</v>
      </c>
      <c r="E827" t="s">
        <v>296</v>
      </c>
      <c r="F827">
        <v>704</v>
      </c>
    </row>
    <row r="828" spans="1:6">
      <c r="A828" t="s">
        <v>886</v>
      </c>
      <c r="B828">
        <v>2022</v>
      </c>
      <c r="C828" s="9">
        <v>44857</v>
      </c>
      <c r="D828" t="s">
        <v>22</v>
      </c>
      <c r="E828" t="s">
        <v>296</v>
      </c>
      <c r="F828">
        <v>0</v>
      </c>
    </row>
    <row r="829" spans="1:6">
      <c r="A829" t="s">
        <v>887</v>
      </c>
      <c r="B829">
        <v>2022</v>
      </c>
      <c r="C829" s="9">
        <v>44858</v>
      </c>
      <c r="D829" t="s">
        <v>24</v>
      </c>
      <c r="E829" t="s">
        <v>296</v>
      </c>
      <c r="F829">
        <v>0</v>
      </c>
    </row>
    <row r="830" spans="1:6">
      <c r="A830" t="s">
        <v>888</v>
      </c>
      <c r="B830">
        <v>2022</v>
      </c>
      <c r="C830" s="9">
        <v>44859</v>
      </c>
      <c r="D830" t="s">
        <v>7</v>
      </c>
      <c r="E830" t="s">
        <v>296</v>
      </c>
      <c r="F830">
        <v>0</v>
      </c>
    </row>
    <row r="831" spans="1:6">
      <c r="A831" t="s">
        <v>889</v>
      </c>
      <c r="B831">
        <v>2022</v>
      </c>
      <c r="C831" s="9">
        <v>44860</v>
      </c>
      <c r="D831" t="s">
        <v>10</v>
      </c>
      <c r="E831" t="s">
        <v>296</v>
      </c>
      <c r="F831">
        <v>0</v>
      </c>
    </row>
    <row r="832" spans="1:6">
      <c r="A832" t="s">
        <v>890</v>
      </c>
      <c r="B832">
        <v>2022</v>
      </c>
      <c r="C832" s="9">
        <v>44861</v>
      </c>
      <c r="D832" t="s">
        <v>13</v>
      </c>
      <c r="E832" t="s">
        <v>296</v>
      </c>
      <c r="F832">
        <v>0</v>
      </c>
    </row>
    <row r="833" spans="1:6">
      <c r="A833" t="s">
        <v>891</v>
      </c>
      <c r="B833">
        <v>2022</v>
      </c>
      <c r="C833" s="9">
        <v>44862</v>
      </c>
      <c r="D833" t="s">
        <v>18</v>
      </c>
      <c r="E833" t="s">
        <v>296</v>
      </c>
      <c r="F833">
        <v>0</v>
      </c>
    </row>
    <row r="834" spans="1:6">
      <c r="A834" t="s">
        <v>892</v>
      </c>
      <c r="B834">
        <v>2022</v>
      </c>
      <c r="C834" s="9">
        <v>44863</v>
      </c>
      <c r="D834" t="s">
        <v>20</v>
      </c>
      <c r="E834" t="s">
        <v>296</v>
      </c>
      <c r="F834">
        <v>0</v>
      </c>
    </row>
    <row r="835" spans="1:6">
      <c r="A835" t="s">
        <v>893</v>
      </c>
      <c r="B835">
        <v>2022</v>
      </c>
      <c r="C835" s="9">
        <v>44864</v>
      </c>
      <c r="D835" t="s">
        <v>22</v>
      </c>
      <c r="E835" t="s">
        <v>296</v>
      </c>
      <c r="F835">
        <v>0</v>
      </c>
    </row>
    <row r="836" spans="1:6">
      <c r="A836" t="s">
        <v>894</v>
      </c>
      <c r="B836">
        <v>2022</v>
      </c>
      <c r="C836" s="9">
        <v>44865</v>
      </c>
      <c r="D836" t="s">
        <v>24</v>
      </c>
      <c r="E836" t="s">
        <v>296</v>
      </c>
      <c r="F836">
        <v>0</v>
      </c>
    </row>
    <row r="837" spans="1:6">
      <c r="A837" t="s">
        <v>895</v>
      </c>
      <c r="B837">
        <v>2022</v>
      </c>
      <c r="C837" s="9">
        <v>44866</v>
      </c>
      <c r="D837" t="s">
        <v>7</v>
      </c>
      <c r="E837" t="s">
        <v>296</v>
      </c>
      <c r="F837">
        <v>0</v>
      </c>
    </row>
    <row r="838" spans="1:6">
      <c r="A838" t="s">
        <v>896</v>
      </c>
      <c r="B838">
        <v>2022</v>
      </c>
      <c r="C838" s="9">
        <v>44867</v>
      </c>
      <c r="D838" t="s">
        <v>10</v>
      </c>
      <c r="E838" t="s">
        <v>328</v>
      </c>
      <c r="F838">
        <v>996.6</v>
      </c>
    </row>
    <row r="839" spans="1:6">
      <c r="A839" t="s">
        <v>897</v>
      </c>
      <c r="B839">
        <v>2022</v>
      </c>
      <c r="C839" s="9">
        <v>44868</v>
      </c>
      <c r="D839" t="s">
        <v>13</v>
      </c>
      <c r="E839" t="s">
        <v>328</v>
      </c>
      <c r="F839">
        <v>799</v>
      </c>
    </row>
    <row r="840" spans="1:6">
      <c r="A840" t="s">
        <v>898</v>
      </c>
      <c r="B840">
        <v>2022</v>
      </c>
      <c r="C840" s="9">
        <v>44869</v>
      </c>
      <c r="D840" t="s">
        <v>18</v>
      </c>
      <c r="E840" t="s">
        <v>328</v>
      </c>
      <c r="F840">
        <v>1002</v>
      </c>
    </row>
    <row r="841" spans="1:6">
      <c r="A841" t="s">
        <v>899</v>
      </c>
      <c r="B841">
        <v>2022</v>
      </c>
      <c r="C841" s="9">
        <v>44870</v>
      </c>
      <c r="D841" t="s">
        <v>20</v>
      </c>
      <c r="E841" t="s">
        <v>328</v>
      </c>
      <c r="F841">
        <v>796</v>
      </c>
    </row>
    <row r="842" spans="1:6">
      <c r="A842" t="s">
        <v>900</v>
      </c>
      <c r="B842">
        <v>2022</v>
      </c>
      <c r="C842" s="9">
        <v>44871</v>
      </c>
      <c r="D842" t="s">
        <v>22</v>
      </c>
      <c r="E842" t="s">
        <v>328</v>
      </c>
      <c r="F842">
        <v>0</v>
      </c>
    </row>
    <row r="843" spans="1:6">
      <c r="A843" t="s">
        <v>901</v>
      </c>
      <c r="B843">
        <v>2022</v>
      </c>
      <c r="C843" s="9">
        <v>44872</v>
      </c>
      <c r="D843" t="s">
        <v>24</v>
      </c>
      <c r="E843" t="s">
        <v>328</v>
      </c>
      <c r="F843">
        <v>0</v>
      </c>
    </row>
    <row r="844" spans="1:6">
      <c r="A844" t="s">
        <v>902</v>
      </c>
      <c r="B844">
        <v>2022</v>
      </c>
      <c r="C844" s="9">
        <v>44873</v>
      </c>
      <c r="D844" t="s">
        <v>7</v>
      </c>
      <c r="E844" t="s">
        <v>328</v>
      </c>
      <c r="F844">
        <v>1394.6</v>
      </c>
    </row>
    <row r="845" spans="1:6">
      <c r="A845" t="s">
        <v>903</v>
      </c>
      <c r="B845">
        <v>2022</v>
      </c>
      <c r="C845" s="9">
        <v>44874</v>
      </c>
      <c r="D845" t="s">
        <v>10</v>
      </c>
      <c r="E845" t="s">
        <v>328</v>
      </c>
      <c r="F845">
        <v>1175</v>
      </c>
    </row>
    <row r="846" spans="1:6">
      <c r="A846" t="s">
        <v>904</v>
      </c>
      <c r="B846">
        <v>2022</v>
      </c>
      <c r="C846" s="9">
        <v>44875</v>
      </c>
      <c r="D846" t="s">
        <v>13</v>
      </c>
      <c r="E846" t="s">
        <v>328</v>
      </c>
      <c r="F846">
        <v>1194</v>
      </c>
    </row>
    <row r="847" spans="1:6">
      <c r="A847" t="s">
        <v>905</v>
      </c>
      <c r="B847">
        <v>2022</v>
      </c>
      <c r="C847" s="9">
        <v>44876</v>
      </c>
      <c r="D847" t="s">
        <v>18</v>
      </c>
      <c r="E847" t="s">
        <v>328</v>
      </c>
      <c r="F847">
        <v>0</v>
      </c>
    </row>
    <row r="848" spans="1:6">
      <c r="A848" t="s">
        <v>906</v>
      </c>
      <c r="B848">
        <v>2022</v>
      </c>
      <c r="C848" s="9">
        <v>44877</v>
      </c>
      <c r="D848" t="s">
        <v>20</v>
      </c>
      <c r="E848" t="s">
        <v>328</v>
      </c>
      <c r="F848">
        <v>885</v>
      </c>
    </row>
    <row r="849" spans="1:6">
      <c r="A849" t="s">
        <v>907</v>
      </c>
      <c r="B849">
        <v>2022</v>
      </c>
      <c r="C849" s="9">
        <v>44878</v>
      </c>
      <c r="D849" t="s">
        <v>22</v>
      </c>
      <c r="E849" t="s">
        <v>328</v>
      </c>
      <c r="F849">
        <v>0</v>
      </c>
    </row>
    <row r="850" spans="1:6">
      <c r="A850" t="s">
        <v>908</v>
      </c>
      <c r="B850">
        <v>2022</v>
      </c>
      <c r="C850" s="9">
        <v>44879</v>
      </c>
      <c r="D850" t="s">
        <v>24</v>
      </c>
      <c r="E850" t="s">
        <v>328</v>
      </c>
      <c r="F850">
        <v>0</v>
      </c>
    </row>
    <row r="851" spans="1:6">
      <c r="A851" t="s">
        <v>909</v>
      </c>
      <c r="B851">
        <v>2022</v>
      </c>
      <c r="C851" s="9">
        <v>44880</v>
      </c>
      <c r="D851" t="s">
        <v>7</v>
      </c>
      <c r="E851" t="s">
        <v>328</v>
      </c>
      <c r="F851">
        <v>1016.4</v>
      </c>
    </row>
    <row r="852" spans="1:6">
      <c r="A852" t="s">
        <v>910</v>
      </c>
      <c r="B852">
        <v>2022</v>
      </c>
      <c r="C852" s="9">
        <v>44881</v>
      </c>
      <c r="D852" t="s">
        <v>10</v>
      </c>
      <c r="E852" t="s">
        <v>328</v>
      </c>
      <c r="F852">
        <v>807</v>
      </c>
    </row>
    <row r="853" spans="1:6">
      <c r="A853" t="s">
        <v>911</v>
      </c>
      <c r="B853">
        <v>2022</v>
      </c>
      <c r="C853" s="9">
        <v>44882</v>
      </c>
      <c r="D853" t="s">
        <v>13</v>
      </c>
      <c r="E853" t="s">
        <v>328</v>
      </c>
      <c r="F853">
        <v>624</v>
      </c>
    </row>
    <row r="854" spans="1:6">
      <c r="A854" t="s">
        <v>912</v>
      </c>
      <c r="B854">
        <v>2022</v>
      </c>
      <c r="C854" s="9">
        <v>44883</v>
      </c>
      <c r="D854" t="s">
        <v>18</v>
      </c>
      <c r="E854" t="s">
        <v>328</v>
      </c>
      <c r="F854">
        <v>760.4</v>
      </c>
    </row>
    <row r="855" spans="1:6">
      <c r="A855" t="s">
        <v>913</v>
      </c>
      <c r="B855">
        <v>2022</v>
      </c>
      <c r="C855" s="9">
        <v>44884</v>
      </c>
      <c r="D855" t="s">
        <v>20</v>
      </c>
      <c r="E855" t="s">
        <v>328</v>
      </c>
      <c r="F855">
        <v>125</v>
      </c>
    </row>
    <row r="856" spans="1:6">
      <c r="A856" t="s">
        <v>914</v>
      </c>
      <c r="B856">
        <v>2022</v>
      </c>
      <c r="C856" s="9">
        <v>44885</v>
      </c>
      <c r="D856" t="s">
        <v>22</v>
      </c>
      <c r="E856" t="s">
        <v>328</v>
      </c>
      <c r="F856">
        <v>0</v>
      </c>
    </row>
    <row r="857" spans="1:6">
      <c r="A857" t="s">
        <v>915</v>
      </c>
      <c r="B857">
        <v>2022</v>
      </c>
      <c r="C857" s="9">
        <v>44886</v>
      </c>
      <c r="D857" t="s">
        <v>24</v>
      </c>
      <c r="E857" t="s">
        <v>328</v>
      </c>
      <c r="F857">
        <v>0</v>
      </c>
    </row>
    <row r="858" spans="1:6">
      <c r="A858" t="s">
        <v>916</v>
      </c>
      <c r="B858">
        <v>2022</v>
      </c>
      <c r="C858" s="9">
        <v>44887</v>
      </c>
      <c r="D858" t="s">
        <v>7</v>
      </c>
      <c r="E858" t="s">
        <v>328</v>
      </c>
      <c r="F858">
        <v>609</v>
      </c>
    </row>
    <row r="859" spans="1:6">
      <c r="A859" t="s">
        <v>917</v>
      </c>
      <c r="B859">
        <v>2022</v>
      </c>
      <c r="C859" s="9">
        <v>44888</v>
      </c>
      <c r="D859" t="s">
        <v>10</v>
      </c>
      <c r="E859" t="s">
        <v>328</v>
      </c>
      <c r="F859">
        <v>472</v>
      </c>
    </row>
    <row r="860" spans="1:6">
      <c r="A860" t="s">
        <v>918</v>
      </c>
      <c r="B860">
        <v>2022</v>
      </c>
      <c r="C860" s="9">
        <v>44889</v>
      </c>
      <c r="D860" t="s">
        <v>13</v>
      </c>
      <c r="E860" t="s">
        <v>328</v>
      </c>
      <c r="F860">
        <v>659.4</v>
      </c>
    </row>
    <row r="861" spans="1:6">
      <c r="A861" t="s">
        <v>919</v>
      </c>
      <c r="B861">
        <v>2022</v>
      </c>
      <c r="C861" s="9">
        <v>44890</v>
      </c>
      <c r="D861" t="s">
        <v>18</v>
      </c>
      <c r="E861" t="s">
        <v>328</v>
      </c>
      <c r="F861">
        <v>417</v>
      </c>
    </row>
    <row r="862" spans="1:6">
      <c r="A862" t="s">
        <v>920</v>
      </c>
      <c r="B862">
        <v>2022</v>
      </c>
      <c r="C862" s="9">
        <v>44891</v>
      </c>
      <c r="D862" t="s">
        <v>20</v>
      </c>
      <c r="E862" t="s">
        <v>328</v>
      </c>
      <c r="F862">
        <v>825</v>
      </c>
    </row>
    <row r="863" spans="1:6">
      <c r="A863" t="s">
        <v>921</v>
      </c>
      <c r="B863">
        <v>2022</v>
      </c>
      <c r="C863" s="9">
        <v>44892</v>
      </c>
      <c r="D863" t="s">
        <v>22</v>
      </c>
      <c r="E863" t="s">
        <v>328</v>
      </c>
      <c r="F863">
        <v>0</v>
      </c>
    </row>
    <row r="864" spans="1:6">
      <c r="A864" t="s">
        <v>922</v>
      </c>
      <c r="B864">
        <v>2022</v>
      </c>
      <c r="C864" s="9">
        <v>44893</v>
      </c>
      <c r="D864" t="s">
        <v>24</v>
      </c>
      <c r="E864" t="s">
        <v>328</v>
      </c>
      <c r="F864">
        <v>0</v>
      </c>
    </row>
    <row r="865" spans="1:6">
      <c r="A865" t="s">
        <v>923</v>
      </c>
      <c r="B865">
        <v>2022</v>
      </c>
      <c r="C865" s="9">
        <v>44894</v>
      </c>
      <c r="D865" t="s">
        <v>7</v>
      </c>
      <c r="E865" t="s">
        <v>328</v>
      </c>
      <c r="F865">
        <v>528</v>
      </c>
    </row>
    <row r="866" spans="1:6">
      <c r="A866" t="s">
        <v>924</v>
      </c>
      <c r="B866">
        <v>2022</v>
      </c>
      <c r="C866" s="9">
        <v>44895</v>
      </c>
      <c r="D866" t="s">
        <v>10</v>
      </c>
      <c r="E866" t="s">
        <v>328</v>
      </c>
      <c r="F866">
        <v>604.79999999999995</v>
      </c>
    </row>
    <row r="867" spans="1:6">
      <c r="A867" t="s">
        <v>925</v>
      </c>
      <c r="B867">
        <v>2022</v>
      </c>
      <c r="C867" s="9">
        <v>44896</v>
      </c>
      <c r="D867" t="s">
        <v>13</v>
      </c>
      <c r="E867" t="s">
        <v>358</v>
      </c>
      <c r="F867">
        <v>922</v>
      </c>
    </row>
    <row r="868" spans="1:6">
      <c r="A868" t="s">
        <v>926</v>
      </c>
      <c r="B868">
        <v>2022</v>
      </c>
      <c r="C868" s="9">
        <v>44897</v>
      </c>
      <c r="D868" t="s">
        <v>18</v>
      </c>
      <c r="E868" t="s">
        <v>358</v>
      </c>
      <c r="F868">
        <v>574.79999999999995</v>
      </c>
    </row>
    <row r="869" spans="1:6">
      <c r="A869" t="s">
        <v>927</v>
      </c>
      <c r="B869">
        <v>2022</v>
      </c>
      <c r="C869" s="9">
        <v>44898</v>
      </c>
      <c r="D869" t="s">
        <v>20</v>
      </c>
      <c r="E869" t="s">
        <v>358</v>
      </c>
      <c r="F869">
        <v>399</v>
      </c>
    </row>
    <row r="870" spans="1:6">
      <c r="A870" t="s">
        <v>928</v>
      </c>
      <c r="B870">
        <v>2022</v>
      </c>
      <c r="C870" s="9">
        <v>44899</v>
      </c>
      <c r="D870" t="s">
        <v>22</v>
      </c>
      <c r="E870" t="s">
        <v>358</v>
      </c>
      <c r="F870">
        <v>0</v>
      </c>
    </row>
    <row r="871" spans="1:6">
      <c r="A871" t="s">
        <v>929</v>
      </c>
      <c r="B871">
        <v>2022</v>
      </c>
      <c r="C871" s="9">
        <v>44900</v>
      </c>
      <c r="D871" t="s">
        <v>24</v>
      </c>
      <c r="E871" t="s">
        <v>358</v>
      </c>
      <c r="F871">
        <v>0</v>
      </c>
    </row>
    <row r="872" spans="1:6">
      <c r="A872" t="s">
        <v>930</v>
      </c>
      <c r="B872">
        <v>2022</v>
      </c>
      <c r="C872" s="9">
        <v>44901</v>
      </c>
      <c r="D872" t="s">
        <v>7</v>
      </c>
      <c r="E872" t="s">
        <v>358</v>
      </c>
      <c r="F872">
        <v>423</v>
      </c>
    </row>
    <row r="873" spans="1:6">
      <c r="A873" t="s">
        <v>931</v>
      </c>
      <c r="B873">
        <v>2022</v>
      </c>
      <c r="C873" s="9">
        <v>44902</v>
      </c>
      <c r="D873" t="s">
        <v>10</v>
      </c>
      <c r="E873" t="s">
        <v>358</v>
      </c>
      <c r="F873">
        <v>761.6</v>
      </c>
    </row>
    <row r="874" spans="1:6">
      <c r="A874" t="s">
        <v>932</v>
      </c>
      <c r="B874">
        <v>2022</v>
      </c>
      <c r="C874" s="9">
        <v>44903</v>
      </c>
      <c r="D874" t="s">
        <v>13</v>
      </c>
      <c r="E874" t="s">
        <v>358</v>
      </c>
      <c r="F874">
        <v>656.8</v>
      </c>
    </row>
    <row r="875" spans="1:6">
      <c r="A875" t="s">
        <v>933</v>
      </c>
      <c r="B875">
        <v>2022</v>
      </c>
      <c r="C875" s="9">
        <v>44904</v>
      </c>
      <c r="D875" t="s">
        <v>18</v>
      </c>
      <c r="E875" t="s">
        <v>358</v>
      </c>
      <c r="F875">
        <v>774</v>
      </c>
    </row>
    <row r="876" spans="1:6">
      <c r="A876" t="s">
        <v>934</v>
      </c>
      <c r="B876">
        <v>2022</v>
      </c>
      <c r="C876" s="9">
        <v>44905</v>
      </c>
      <c r="D876" t="s">
        <v>20</v>
      </c>
      <c r="E876" t="s">
        <v>358</v>
      </c>
      <c r="F876">
        <v>480.8</v>
      </c>
    </row>
    <row r="877" spans="1:6">
      <c r="A877" t="s">
        <v>935</v>
      </c>
      <c r="B877">
        <v>2022</v>
      </c>
      <c r="C877" s="9">
        <v>44906</v>
      </c>
      <c r="D877" t="s">
        <v>22</v>
      </c>
      <c r="E877" t="s">
        <v>358</v>
      </c>
      <c r="F877">
        <v>0</v>
      </c>
    </row>
    <row r="878" spans="1:6">
      <c r="A878" t="s">
        <v>936</v>
      </c>
      <c r="B878">
        <v>2022</v>
      </c>
      <c r="C878" s="9">
        <v>44907</v>
      </c>
      <c r="D878" t="s">
        <v>24</v>
      </c>
      <c r="E878" t="s">
        <v>358</v>
      </c>
      <c r="F878">
        <v>0</v>
      </c>
    </row>
    <row r="879" spans="1:6">
      <c r="A879" t="s">
        <v>937</v>
      </c>
      <c r="B879">
        <v>2022</v>
      </c>
      <c r="C879" s="9">
        <v>44908</v>
      </c>
      <c r="D879" t="s">
        <v>7</v>
      </c>
      <c r="E879" t="s">
        <v>358</v>
      </c>
      <c r="F879">
        <v>279</v>
      </c>
    </row>
    <row r="880" spans="1:6">
      <c r="A880" t="s">
        <v>938</v>
      </c>
      <c r="B880">
        <v>2022</v>
      </c>
      <c r="C880" s="9">
        <v>44909</v>
      </c>
      <c r="D880" t="s">
        <v>10</v>
      </c>
      <c r="E880" t="s">
        <v>358</v>
      </c>
      <c r="F880">
        <v>582.79999999999995</v>
      </c>
    </row>
    <row r="881" spans="1:6">
      <c r="A881" t="s">
        <v>939</v>
      </c>
      <c r="B881">
        <v>2022</v>
      </c>
      <c r="C881" s="9">
        <v>44910</v>
      </c>
      <c r="D881" t="s">
        <v>13</v>
      </c>
      <c r="E881" t="s">
        <v>358</v>
      </c>
      <c r="F881">
        <v>607</v>
      </c>
    </row>
    <row r="882" spans="1:6">
      <c r="A882" t="s">
        <v>940</v>
      </c>
      <c r="B882">
        <v>2022</v>
      </c>
      <c r="C882" s="9">
        <v>44911</v>
      </c>
      <c r="D882" t="s">
        <v>18</v>
      </c>
      <c r="E882" t="s">
        <v>358</v>
      </c>
      <c r="F882">
        <v>833.8</v>
      </c>
    </row>
    <row r="883" spans="1:6">
      <c r="A883" t="s">
        <v>941</v>
      </c>
      <c r="B883">
        <v>2022</v>
      </c>
      <c r="C883" s="9">
        <v>44912</v>
      </c>
      <c r="D883" t="s">
        <v>20</v>
      </c>
      <c r="E883" t="s">
        <v>358</v>
      </c>
      <c r="F883">
        <v>766</v>
      </c>
    </row>
    <row r="884" spans="1:6">
      <c r="A884" t="s">
        <v>942</v>
      </c>
      <c r="B884">
        <v>2022</v>
      </c>
      <c r="C884" s="9">
        <v>44913</v>
      </c>
      <c r="D884" t="s">
        <v>22</v>
      </c>
      <c r="E884" t="s">
        <v>358</v>
      </c>
      <c r="F884">
        <v>0</v>
      </c>
    </row>
    <row r="885" spans="1:6">
      <c r="A885" t="s">
        <v>943</v>
      </c>
      <c r="B885">
        <v>2022</v>
      </c>
      <c r="C885" s="9">
        <v>44914</v>
      </c>
      <c r="D885" t="s">
        <v>24</v>
      </c>
      <c r="E885" t="s">
        <v>358</v>
      </c>
      <c r="F885">
        <v>0</v>
      </c>
    </row>
    <row r="886" spans="1:6">
      <c r="A886" t="s">
        <v>944</v>
      </c>
      <c r="B886">
        <v>2022</v>
      </c>
      <c r="C886" s="9">
        <v>44915</v>
      </c>
      <c r="D886" t="s">
        <v>7</v>
      </c>
      <c r="E886" t="s">
        <v>358</v>
      </c>
      <c r="F886">
        <v>712</v>
      </c>
    </row>
    <row r="887" spans="1:6">
      <c r="A887" t="s">
        <v>945</v>
      </c>
      <c r="B887">
        <v>2022</v>
      </c>
      <c r="C887" s="9">
        <v>44916</v>
      </c>
      <c r="D887" t="s">
        <v>10</v>
      </c>
      <c r="E887" t="s">
        <v>358</v>
      </c>
      <c r="F887">
        <v>1391</v>
      </c>
    </row>
    <row r="888" spans="1:6">
      <c r="A888" t="s">
        <v>946</v>
      </c>
      <c r="B888">
        <v>2022</v>
      </c>
      <c r="C888" s="9">
        <v>44917</v>
      </c>
      <c r="D888" t="s">
        <v>13</v>
      </c>
      <c r="E888" t="s">
        <v>358</v>
      </c>
      <c r="F888">
        <v>1294</v>
      </c>
    </row>
    <row r="889" spans="1:6">
      <c r="A889" t="s">
        <v>947</v>
      </c>
      <c r="B889">
        <v>2022</v>
      </c>
      <c r="C889" s="9">
        <v>44918</v>
      </c>
      <c r="D889" t="s">
        <v>18</v>
      </c>
      <c r="E889" t="s">
        <v>358</v>
      </c>
      <c r="F889">
        <v>1050.8</v>
      </c>
    </row>
    <row r="890" spans="1:6">
      <c r="A890" t="s">
        <v>948</v>
      </c>
      <c r="B890">
        <v>2022</v>
      </c>
      <c r="C890" s="9">
        <v>44919</v>
      </c>
      <c r="D890" t="s">
        <v>20</v>
      </c>
      <c r="E890" t="s">
        <v>358</v>
      </c>
      <c r="F890">
        <v>961</v>
      </c>
    </row>
    <row r="891" spans="1:6">
      <c r="A891" t="s">
        <v>949</v>
      </c>
      <c r="B891">
        <v>2022</v>
      </c>
      <c r="C891" s="9">
        <v>44920</v>
      </c>
      <c r="D891" t="s">
        <v>22</v>
      </c>
      <c r="E891" t="s">
        <v>358</v>
      </c>
      <c r="F891">
        <v>0</v>
      </c>
    </row>
    <row r="892" spans="1:6">
      <c r="A892" t="s">
        <v>950</v>
      </c>
      <c r="B892">
        <v>2022</v>
      </c>
      <c r="C892" s="9">
        <v>44921</v>
      </c>
      <c r="D892" t="s">
        <v>24</v>
      </c>
      <c r="E892" t="s">
        <v>358</v>
      </c>
      <c r="F892">
        <v>0</v>
      </c>
    </row>
    <row r="893" spans="1:6">
      <c r="A893" t="s">
        <v>951</v>
      </c>
      <c r="B893">
        <v>2022</v>
      </c>
      <c r="C893" s="9">
        <v>44922</v>
      </c>
      <c r="D893" t="s">
        <v>7</v>
      </c>
      <c r="E893" t="s">
        <v>358</v>
      </c>
      <c r="F893">
        <v>679.6</v>
      </c>
    </row>
    <row r="894" spans="1:6">
      <c r="A894" t="s">
        <v>952</v>
      </c>
      <c r="B894">
        <v>2022</v>
      </c>
      <c r="C894" s="9">
        <v>44923</v>
      </c>
      <c r="D894" t="s">
        <v>10</v>
      </c>
      <c r="E894" t="s">
        <v>358</v>
      </c>
      <c r="F894">
        <v>390.6</v>
      </c>
    </row>
    <row r="895" spans="1:6">
      <c r="A895" t="s">
        <v>953</v>
      </c>
      <c r="B895">
        <v>2022</v>
      </c>
      <c r="C895" s="9">
        <v>44924</v>
      </c>
      <c r="D895" t="s">
        <v>13</v>
      </c>
      <c r="E895" t="s">
        <v>358</v>
      </c>
      <c r="F895">
        <v>806</v>
      </c>
    </row>
    <row r="896" spans="1:6">
      <c r="A896" t="s">
        <v>954</v>
      </c>
      <c r="B896">
        <v>2022</v>
      </c>
      <c r="C896" s="9">
        <v>44925</v>
      </c>
      <c r="D896" t="s">
        <v>18</v>
      </c>
      <c r="E896" t="s">
        <v>358</v>
      </c>
      <c r="F896">
        <v>751</v>
      </c>
    </row>
    <row r="897" spans="1:6">
      <c r="A897" t="s">
        <v>955</v>
      </c>
      <c r="B897">
        <v>2022</v>
      </c>
      <c r="C897" s="9">
        <v>44926</v>
      </c>
      <c r="D897" t="s">
        <v>20</v>
      </c>
      <c r="E897" t="s">
        <v>358</v>
      </c>
      <c r="F897">
        <v>586</v>
      </c>
    </row>
    <row r="898" spans="1:6">
      <c r="A898" t="s">
        <v>956</v>
      </c>
      <c r="B898">
        <v>2023</v>
      </c>
      <c r="C898" s="9">
        <v>44930</v>
      </c>
      <c r="D898" t="s">
        <v>10</v>
      </c>
      <c r="E898" t="s">
        <v>15</v>
      </c>
      <c r="F898">
        <v>307</v>
      </c>
    </row>
    <row r="899" spans="1:6">
      <c r="A899" t="s">
        <v>957</v>
      </c>
      <c r="B899">
        <v>2023</v>
      </c>
      <c r="C899" s="9">
        <v>44931</v>
      </c>
      <c r="D899" t="s">
        <v>13</v>
      </c>
      <c r="E899" t="s">
        <v>15</v>
      </c>
      <c r="F899">
        <v>509</v>
      </c>
    </row>
    <row r="900" spans="1:6">
      <c r="A900" t="s">
        <v>958</v>
      </c>
      <c r="B900">
        <v>2023</v>
      </c>
      <c r="C900" s="9">
        <v>44932</v>
      </c>
      <c r="D900" t="s">
        <v>18</v>
      </c>
      <c r="E900" t="s">
        <v>15</v>
      </c>
      <c r="F900">
        <v>612</v>
      </c>
    </row>
    <row r="901" spans="1:6">
      <c r="A901" t="s">
        <v>959</v>
      </c>
      <c r="B901">
        <v>2023</v>
      </c>
      <c r="C901" s="9">
        <v>44933</v>
      </c>
      <c r="D901" t="s">
        <v>20</v>
      </c>
      <c r="E901" t="s">
        <v>15</v>
      </c>
      <c r="F901">
        <v>888.8</v>
      </c>
    </row>
    <row r="902" spans="1:6">
      <c r="A902" t="s">
        <v>960</v>
      </c>
      <c r="B902">
        <v>2023</v>
      </c>
      <c r="C902" s="9">
        <v>44934</v>
      </c>
      <c r="D902" t="s">
        <v>22</v>
      </c>
      <c r="E902" t="s">
        <v>15</v>
      </c>
      <c r="F902">
        <v>0</v>
      </c>
    </row>
    <row r="903" spans="1:6">
      <c r="A903" t="s">
        <v>961</v>
      </c>
      <c r="B903">
        <v>2023</v>
      </c>
      <c r="C903" s="9">
        <v>44935</v>
      </c>
      <c r="D903" t="s">
        <v>24</v>
      </c>
      <c r="E903" t="s">
        <v>15</v>
      </c>
      <c r="F903">
        <v>0</v>
      </c>
    </row>
    <row r="904" spans="1:6">
      <c r="A904" t="s">
        <v>962</v>
      </c>
      <c r="B904">
        <v>2023</v>
      </c>
      <c r="C904" s="9">
        <v>44929</v>
      </c>
      <c r="D904" t="s">
        <v>7</v>
      </c>
      <c r="E904" t="s">
        <v>15</v>
      </c>
      <c r="F904">
        <v>0</v>
      </c>
    </row>
    <row r="905" spans="1:6">
      <c r="A905" t="s">
        <v>963</v>
      </c>
      <c r="B905">
        <v>2023</v>
      </c>
      <c r="C905" s="9">
        <v>44928</v>
      </c>
      <c r="D905" t="s">
        <v>24</v>
      </c>
      <c r="E905" t="s">
        <v>15</v>
      </c>
      <c r="F905">
        <v>0</v>
      </c>
    </row>
    <row r="906" spans="1:6">
      <c r="A906" t="s">
        <v>964</v>
      </c>
      <c r="B906">
        <v>2023</v>
      </c>
      <c r="C906" s="9">
        <v>44927</v>
      </c>
      <c r="D906" t="s">
        <v>22</v>
      </c>
      <c r="E906" t="s">
        <v>15</v>
      </c>
      <c r="F906">
        <v>0</v>
      </c>
    </row>
    <row r="907" spans="1:6">
      <c r="A907" t="s">
        <v>965</v>
      </c>
      <c r="B907">
        <v>2023</v>
      </c>
      <c r="C907" s="9">
        <v>44936</v>
      </c>
      <c r="D907" t="s">
        <v>7</v>
      </c>
      <c r="E907" t="s">
        <v>15</v>
      </c>
      <c r="F907">
        <v>374.2</v>
      </c>
    </row>
    <row r="908" spans="1:6">
      <c r="A908" t="s">
        <v>966</v>
      </c>
      <c r="B908">
        <v>2023</v>
      </c>
      <c r="C908" s="9">
        <v>44937</v>
      </c>
      <c r="D908" t="s">
        <v>10</v>
      </c>
      <c r="E908" t="s">
        <v>15</v>
      </c>
      <c r="F908">
        <v>680.8</v>
      </c>
    </row>
    <row r="909" spans="1:6">
      <c r="A909" t="s">
        <v>967</v>
      </c>
      <c r="B909">
        <v>2023</v>
      </c>
      <c r="C909" s="9">
        <v>44938</v>
      </c>
      <c r="D909" t="s">
        <v>13</v>
      </c>
      <c r="E909" t="s">
        <v>15</v>
      </c>
      <c r="F909">
        <v>638.79999999999995</v>
      </c>
    </row>
    <row r="910" spans="1:6">
      <c r="A910" t="s">
        <v>968</v>
      </c>
      <c r="B910">
        <v>2023</v>
      </c>
      <c r="C910" s="9">
        <v>44939</v>
      </c>
      <c r="D910" t="s">
        <v>18</v>
      </c>
      <c r="E910" t="s">
        <v>15</v>
      </c>
      <c r="F910">
        <v>793.6</v>
      </c>
    </row>
    <row r="911" spans="1:6">
      <c r="A911" t="s">
        <v>969</v>
      </c>
      <c r="B911">
        <v>2023</v>
      </c>
      <c r="C911" s="9">
        <v>44940</v>
      </c>
      <c r="D911" t="s">
        <v>20</v>
      </c>
      <c r="E911" t="s">
        <v>15</v>
      </c>
      <c r="F911">
        <v>621.6</v>
      </c>
    </row>
    <row r="912" spans="1:6">
      <c r="A912" t="s">
        <v>970</v>
      </c>
      <c r="B912">
        <v>2023</v>
      </c>
      <c r="C912" s="9">
        <v>44941</v>
      </c>
      <c r="D912" t="s">
        <v>22</v>
      </c>
      <c r="E912" t="s">
        <v>15</v>
      </c>
      <c r="F912">
        <v>0</v>
      </c>
    </row>
    <row r="913" spans="1:6">
      <c r="A913" t="s">
        <v>971</v>
      </c>
      <c r="B913">
        <v>2023</v>
      </c>
      <c r="C913" s="9">
        <v>44942</v>
      </c>
      <c r="D913" t="s">
        <v>24</v>
      </c>
      <c r="E913" t="s">
        <v>15</v>
      </c>
      <c r="F913">
        <v>0</v>
      </c>
    </row>
    <row r="914" spans="1:6">
      <c r="A914" t="s">
        <v>972</v>
      </c>
      <c r="B914">
        <v>2023</v>
      </c>
      <c r="C914" s="9">
        <v>44943</v>
      </c>
      <c r="D914" t="s">
        <v>7</v>
      </c>
      <c r="E914" t="s">
        <v>15</v>
      </c>
      <c r="F914">
        <v>448</v>
      </c>
    </row>
    <row r="915" spans="1:6">
      <c r="A915" t="s">
        <v>973</v>
      </c>
      <c r="B915">
        <v>2023</v>
      </c>
      <c r="C915" s="9">
        <v>44944</v>
      </c>
      <c r="D915" t="s">
        <v>10</v>
      </c>
      <c r="E915" t="s">
        <v>15</v>
      </c>
      <c r="F915">
        <v>611</v>
      </c>
    </row>
    <row r="916" spans="1:6">
      <c r="A916" t="s">
        <v>974</v>
      </c>
      <c r="B916">
        <v>2023</v>
      </c>
      <c r="C916" s="9">
        <v>44945</v>
      </c>
      <c r="D916" t="s">
        <v>13</v>
      </c>
      <c r="E916" t="s">
        <v>15</v>
      </c>
      <c r="F916">
        <v>493</v>
      </c>
    </row>
    <row r="917" spans="1:6">
      <c r="A917" t="s">
        <v>975</v>
      </c>
      <c r="B917">
        <v>2023</v>
      </c>
      <c r="C917" s="9">
        <v>44946</v>
      </c>
      <c r="D917" t="s">
        <v>18</v>
      </c>
      <c r="E917" t="s">
        <v>15</v>
      </c>
      <c r="F917">
        <v>695.4</v>
      </c>
    </row>
    <row r="918" spans="1:6">
      <c r="A918" t="s">
        <v>976</v>
      </c>
      <c r="B918">
        <v>2023</v>
      </c>
      <c r="C918" s="9">
        <v>44947</v>
      </c>
      <c r="D918" t="s">
        <v>20</v>
      </c>
      <c r="E918" t="s">
        <v>15</v>
      </c>
      <c r="F918">
        <v>238</v>
      </c>
    </row>
    <row r="919" spans="1:6">
      <c r="A919" t="s">
        <v>977</v>
      </c>
      <c r="B919">
        <v>2023</v>
      </c>
      <c r="C919" s="9">
        <v>44948</v>
      </c>
      <c r="D919" t="s">
        <v>22</v>
      </c>
      <c r="E919" t="s">
        <v>15</v>
      </c>
      <c r="F919">
        <v>0</v>
      </c>
    </row>
    <row r="920" spans="1:6">
      <c r="A920" t="s">
        <v>978</v>
      </c>
      <c r="B920">
        <v>2023</v>
      </c>
      <c r="C920" s="9">
        <v>44949</v>
      </c>
      <c r="D920" t="s">
        <v>24</v>
      </c>
      <c r="E920" t="s">
        <v>15</v>
      </c>
      <c r="F920">
        <v>0</v>
      </c>
    </row>
    <row r="921" spans="1:6">
      <c r="A921" t="s">
        <v>979</v>
      </c>
      <c r="B921">
        <v>2023</v>
      </c>
      <c r="C921" s="9">
        <v>44951</v>
      </c>
      <c r="D921" t="s">
        <v>10</v>
      </c>
      <c r="E921" t="s">
        <v>15</v>
      </c>
      <c r="F921">
        <v>654.6</v>
      </c>
    </row>
    <row r="922" spans="1:6">
      <c r="A922" t="s">
        <v>980</v>
      </c>
      <c r="B922">
        <v>2023</v>
      </c>
      <c r="C922" s="9">
        <v>44952</v>
      </c>
      <c r="D922" t="s">
        <v>13</v>
      </c>
      <c r="E922" t="s">
        <v>15</v>
      </c>
      <c r="F922">
        <v>447.8</v>
      </c>
    </row>
    <row r="923" spans="1:6">
      <c r="A923" t="s">
        <v>981</v>
      </c>
      <c r="B923">
        <v>2023</v>
      </c>
      <c r="C923" s="9">
        <v>44953</v>
      </c>
      <c r="D923" t="s">
        <v>18</v>
      </c>
      <c r="E923" t="s">
        <v>15</v>
      </c>
      <c r="F923">
        <v>226</v>
      </c>
    </row>
    <row r="924" spans="1:6">
      <c r="A924" t="s">
        <v>982</v>
      </c>
      <c r="B924">
        <v>2023</v>
      </c>
      <c r="C924" s="9">
        <v>44954</v>
      </c>
      <c r="D924" t="s">
        <v>20</v>
      </c>
      <c r="E924" t="s">
        <v>15</v>
      </c>
      <c r="F924">
        <v>549</v>
      </c>
    </row>
    <row r="925" spans="1:6">
      <c r="A925" t="s">
        <v>983</v>
      </c>
      <c r="B925">
        <v>2023</v>
      </c>
      <c r="C925" s="9">
        <v>44955</v>
      </c>
      <c r="D925" t="s">
        <v>22</v>
      </c>
      <c r="E925" t="s">
        <v>15</v>
      </c>
      <c r="F925">
        <v>0</v>
      </c>
    </row>
    <row r="926" spans="1:6">
      <c r="A926" t="s">
        <v>984</v>
      </c>
      <c r="B926">
        <v>2023</v>
      </c>
      <c r="C926" s="9">
        <v>44956</v>
      </c>
      <c r="D926" t="s">
        <v>24</v>
      </c>
      <c r="E926" t="s">
        <v>15</v>
      </c>
      <c r="F926">
        <v>0</v>
      </c>
    </row>
    <row r="927" spans="1:6">
      <c r="A927" t="s">
        <v>985</v>
      </c>
      <c r="B927">
        <v>2023</v>
      </c>
      <c r="C927" s="9">
        <v>44957</v>
      </c>
      <c r="D927" t="s">
        <v>7</v>
      </c>
      <c r="E927" t="s">
        <v>15</v>
      </c>
      <c r="F927">
        <v>517</v>
      </c>
    </row>
    <row r="928" spans="1:6">
      <c r="A928" t="s">
        <v>986</v>
      </c>
      <c r="B928">
        <v>2023</v>
      </c>
      <c r="C928" s="9">
        <v>44950</v>
      </c>
      <c r="D928" t="s">
        <v>7</v>
      </c>
      <c r="E928" t="s">
        <v>15</v>
      </c>
      <c r="F928">
        <v>0</v>
      </c>
    </row>
    <row r="929" spans="1:6">
      <c r="A929" t="s">
        <v>987</v>
      </c>
      <c r="B929">
        <v>2023</v>
      </c>
      <c r="C929" s="9">
        <v>44958</v>
      </c>
      <c r="D929" t="s">
        <v>10</v>
      </c>
      <c r="E929" t="s">
        <v>51</v>
      </c>
      <c r="F929">
        <v>556.79999999999995</v>
      </c>
    </row>
    <row r="930" spans="1:6">
      <c r="A930" t="s">
        <v>988</v>
      </c>
      <c r="B930">
        <v>2023</v>
      </c>
      <c r="C930" s="9">
        <v>44959</v>
      </c>
      <c r="D930" t="s">
        <v>13</v>
      </c>
      <c r="E930" t="s">
        <v>51</v>
      </c>
      <c r="F930">
        <v>650.79999999999995</v>
      </c>
    </row>
    <row r="931" spans="1:6">
      <c r="A931" t="s">
        <v>989</v>
      </c>
      <c r="B931">
        <v>2023</v>
      </c>
      <c r="C931" s="9">
        <v>44960</v>
      </c>
      <c r="D931" t="s">
        <v>18</v>
      </c>
      <c r="E931" t="s">
        <v>51</v>
      </c>
      <c r="F931">
        <v>548</v>
      </c>
    </row>
    <row r="932" spans="1:6">
      <c r="A932" t="s">
        <v>990</v>
      </c>
      <c r="B932">
        <v>2023</v>
      </c>
      <c r="C932" s="9">
        <v>44961</v>
      </c>
      <c r="D932" t="s">
        <v>20</v>
      </c>
      <c r="E932" t="s">
        <v>51</v>
      </c>
      <c r="F932">
        <v>581</v>
      </c>
    </row>
    <row r="933" spans="1:6">
      <c r="A933" t="s">
        <v>991</v>
      </c>
      <c r="B933">
        <v>2023</v>
      </c>
      <c r="C933" s="9">
        <v>44962</v>
      </c>
      <c r="D933" t="s">
        <v>22</v>
      </c>
      <c r="E933" t="s">
        <v>51</v>
      </c>
      <c r="F933">
        <v>0</v>
      </c>
    </row>
    <row r="934" spans="1:6">
      <c r="A934" t="s">
        <v>992</v>
      </c>
      <c r="B934">
        <v>2023</v>
      </c>
      <c r="C934" s="9">
        <v>44963</v>
      </c>
      <c r="D934" t="s">
        <v>24</v>
      </c>
      <c r="E934" t="s">
        <v>51</v>
      </c>
      <c r="F934">
        <v>0</v>
      </c>
    </row>
    <row r="935" spans="1:6">
      <c r="A935" t="s">
        <v>993</v>
      </c>
      <c r="B935">
        <v>2023</v>
      </c>
      <c r="C935" s="9">
        <v>44964</v>
      </c>
      <c r="D935" t="s">
        <v>7</v>
      </c>
      <c r="E935" t="s">
        <v>51</v>
      </c>
      <c r="F935">
        <v>772</v>
      </c>
    </row>
    <row r="936" spans="1:6">
      <c r="A936" t="s">
        <v>994</v>
      </c>
      <c r="B936">
        <v>2023</v>
      </c>
      <c r="C936" s="9">
        <v>44965</v>
      </c>
      <c r="D936" t="s">
        <v>10</v>
      </c>
      <c r="E936" t="s">
        <v>51</v>
      </c>
      <c r="F936">
        <v>770.6</v>
      </c>
    </row>
    <row r="937" spans="1:6">
      <c r="A937" t="s">
        <v>995</v>
      </c>
      <c r="B937">
        <v>2023</v>
      </c>
      <c r="C937" s="9">
        <v>44966</v>
      </c>
      <c r="D937" t="s">
        <v>13</v>
      </c>
      <c r="E937" t="s">
        <v>51</v>
      </c>
      <c r="F937">
        <v>638</v>
      </c>
    </row>
    <row r="938" spans="1:6">
      <c r="A938" t="s">
        <v>996</v>
      </c>
      <c r="B938">
        <v>2023</v>
      </c>
      <c r="C938" s="9">
        <v>44967</v>
      </c>
      <c r="D938" t="s">
        <v>18</v>
      </c>
      <c r="E938" t="s">
        <v>51</v>
      </c>
      <c r="F938">
        <v>486</v>
      </c>
    </row>
    <row r="939" spans="1:6">
      <c r="A939" t="s">
        <v>997</v>
      </c>
      <c r="B939">
        <v>2023</v>
      </c>
      <c r="C939" s="9">
        <v>44968</v>
      </c>
      <c r="D939" t="s">
        <v>20</v>
      </c>
      <c r="E939" t="s">
        <v>51</v>
      </c>
      <c r="F939">
        <v>306</v>
      </c>
    </row>
    <row r="940" spans="1:6">
      <c r="A940" t="s">
        <v>998</v>
      </c>
      <c r="B940">
        <v>2023</v>
      </c>
      <c r="C940" s="9">
        <v>44969</v>
      </c>
      <c r="D940" t="s">
        <v>22</v>
      </c>
      <c r="E940" t="s">
        <v>51</v>
      </c>
      <c r="F940">
        <v>0</v>
      </c>
    </row>
    <row r="941" spans="1:6">
      <c r="A941" t="s">
        <v>999</v>
      </c>
      <c r="B941">
        <v>2023</v>
      </c>
      <c r="C941" s="9">
        <v>44970</v>
      </c>
      <c r="D941" t="s">
        <v>24</v>
      </c>
      <c r="E941" t="s">
        <v>51</v>
      </c>
      <c r="F941">
        <v>0</v>
      </c>
    </row>
    <row r="942" spans="1:6">
      <c r="A942" t="s">
        <v>1000</v>
      </c>
      <c r="B942">
        <v>2023</v>
      </c>
      <c r="C942" s="9">
        <v>44971</v>
      </c>
      <c r="D942" t="s">
        <v>7</v>
      </c>
      <c r="E942" t="s">
        <v>51</v>
      </c>
      <c r="F942">
        <v>442</v>
      </c>
    </row>
    <row r="943" spans="1:6">
      <c r="A943" t="s">
        <v>1001</v>
      </c>
      <c r="B943">
        <v>2023</v>
      </c>
      <c r="C943" s="9">
        <v>44972</v>
      </c>
      <c r="D943" t="s">
        <v>10</v>
      </c>
      <c r="E943" t="s">
        <v>51</v>
      </c>
      <c r="F943">
        <v>462.8</v>
      </c>
    </row>
    <row r="944" spans="1:6">
      <c r="A944" t="s">
        <v>1002</v>
      </c>
      <c r="B944">
        <v>2023</v>
      </c>
      <c r="C944" s="9">
        <v>44973</v>
      </c>
      <c r="D944" t="s">
        <v>13</v>
      </c>
      <c r="E944" t="s">
        <v>51</v>
      </c>
      <c r="F944">
        <v>463.8</v>
      </c>
    </row>
    <row r="945" spans="1:6">
      <c r="A945" t="s">
        <v>1003</v>
      </c>
      <c r="B945">
        <v>2023</v>
      </c>
      <c r="C945" s="9">
        <v>44974</v>
      </c>
      <c r="D945" t="s">
        <v>18</v>
      </c>
      <c r="E945" t="s">
        <v>51</v>
      </c>
      <c r="F945">
        <v>374</v>
      </c>
    </row>
    <row r="946" spans="1:6">
      <c r="A946" t="s">
        <v>1004</v>
      </c>
      <c r="B946">
        <v>2023</v>
      </c>
      <c r="C946" s="9">
        <v>44975</v>
      </c>
      <c r="D946" t="s">
        <v>20</v>
      </c>
      <c r="E946" t="s">
        <v>51</v>
      </c>
      <c r="F946">
        <v>566.20000000000005</v>
      </c>
    </row>
    <row r="947" spans="1:6">
      <c r="A947" t="s">
        <v>1005</v>
      </c>
      <c r="B947">
        <v>2023</v>
      </c>
      <c r="C947" s="9">
        <v>44976</v>
      </c>
      <c r="D947" t="s">
        <v>22</v>
      </c>
      <c r="E947" t="s">
        <v>51</v>
      </c>
      <c r="F947">
        <v>0</v>
      </c>
    </row>
    <row r="948" spans="1:6">
      <c r="A948" t="s">
        <v>1006</v>
      </c>
      <c r="B948">
        <v>2023</v>
      </c>
      <c r="C948" s="9">
        <v>44977</v>
      </c>
      <c r="D948" t="s">
        <v>24</v>
      </c>
      <c r="E948" t="s">
        <v>51</v>
      </c>
      <c r="F948">
        <v>0</v>
      </c>
    </row>
    <row r="949" spans="1:6">
      <c r="A949" t="s">
        <v>1007</v>
      </c>
      <c r="B949">
        <v>2023</v>
      </c>
      <c r="C949" s="9">
        <v>44978</v>
      </c>
      <c r="D949" t="s">
        <v>7</v>
      </c>
      <c r="E949" t="s">
        <v>51</v>
      </c>
      <c r="F949">
        <v>557.79999999999995</v>
      </c>
    </row>
    <row r="950" spans="1:6">
      <c r="A950" t="s">
        <v>1008</v>
      </c>
      <c r="B950">
        <v>2023</v>
      </c>
      <c r="C950" s="9">
        <v>44979</v>
      </c>
      <c r="D950" t="s">
        <v>10</v>
      </c>
      <c r="E950" t="s">
        <v>51</v>
      </c>
      <c r="F950">
        <v>597</v>
      </c>
    </row>
    <row r="951" spans="1:6">
      <c r="A951" t="s">
        <v>1009</v>
      </c>
      <c r="B951">
        <v>2023</v>
      </c>
      <c r="C951" s="9">
        <v>44980</v>
      </c>
      <c r="D951" t="s">
        <v>13</v>
      </c>
      <c r="E951" t="s">
        <v>51</v>
      </c>
      <c r="F951">
        <v>419</v>
      </c>
    </row>
    <row r="952" spans="1:6">
      <c r="A952" t="s">
        <v>1010</v>
      </c>
      <c r="B952">
        <v>2023</v>
      </c>
      <c r="C952" s="9">
        <v>44981</v>
      </c>
      <c r="D952" t="s">
        <v>18</v>
      </c>
      <c r="E952" t="s">
        <v>51</v>
      </c>
      <c r="F952">
        <v>318.8</v>
      </c>
    </row>
    <row r="953" spans="1:6">
      <c r="A953" t="s">
        <v>1011</v>
      </c>
      <c r="B953">
        <v>2023</v>
      </c>
      <c r="C953" s="9">
        <v>44982</v>
      </c>
      <c r="D953" t="s">
        <v>20</v>
      </c>
      <c r="E953" t="s">
        <v>51</v>
      </c>
      <c r="F953">
        <v>643.79999999999995</v>
      </c>
    </row>
    <row r="954" spans="1:6">
      <c r="A954" t="s">
        <v>1012</v>
      </c>
      <c r="B954">
        <v>2023</v>
      </c>
      <c r="C954" s="9">
        <v>44983</v>
      </c>
      <c r="D954" t="s">
        <v>22</v>
      </c>
      <c r="E954" t="s">
        <v>51</v>
      </c>
      <c r="F954">
        <v>0</v>
      </c>
    </row>
    <row r="955" spans="1:6">
      <c r="A955" t="s">
        <v>1013</v>
      </c>
      <c r="B955">
        <v>2023</v>
      </c>
      <c r="C955" s="9">
        <v>44984</v>
      </c>
      <c r="D955" t="s">
        <v>24</v>
      </c>
      <c r="E955" t="s">
        <v>51</v>
      </c>
      <c r="F955">
        <v>0</v>
      </c>
    </row>
    <row r="956" spans="1:6">
      <c r="A956" t="s">
        <v>1014</v>
      </c>
      <c r="B956">
        <v>2023</v>
      </c>
      <c r="C956" s="9">
        <v>44985</v>
      </c>
      <c r="D956" t="s">
        <v>7</v>
      </c>
      <c r="E956" t="s">
        <v>51</v>
      </c>
      <c r="F956">
        <v>750.2</v>
      </c>
    </row>
    <row r="957" spans="1:6">
      <c r="A957" t="s">
        <v>1015</v>
      </c>
      <c r="B957">
        <v>2023</v>
      </c>
      <c r="C957" s="9">
        <v>44986</v>
      </c>
      <c r="D957" t="s">
        <v>10</v>
      </c>
      <c r="E957" t="s">
        <v>80</v>
      </c>
      <c r="F957">
        <v>705</v>
      </c>
    </row>
    <row r="958" spans="1:6">
      <c r="A958" t="s">
        <v>1016</v>
      </c>
      <c r="B958">
        <v>2023</v>
      </c>
      <c r="C958" s="9">
        <v>44987</v>
      </c>
      <c r="D958" t="s">
        <v>13</v>
      </c>
      <c r="E958" t="s">
        <v>80</v>
      </c>
      <c r="F958">
        <v>754</v>
      </c>
    </row>
    <row r="959" spans="1:6">
      <c r="A959" t="s">
        <v>1017</v>
      </c>
      <c r="B959">
        <v>2023</v>
      </c>
      <c r="C959" s="9">
        <v>44988</v>
      </c>
      <c r="D959" t="s">
        <v>18</v>
      </c>
      <c r="E959" t="s">
        <v>80</v>
      </c>
      <c r="F959">
        <v>519.4</v>
      </c>
    </row>
    <row r="960" spans="1:6">
      <c r="A960" t="s">
        <v>1018</v>
      </c>
      <c r="B960">
        <v>2023</v>
      </c>
      <c r="C960" s="9">
        <v>44989</v>
      </c>
      <c r="D960" t="s">
        <v>20</v>
      </c>
      <c r="E960" t="s">
        <v>80</v>
      </c>
      <c r="F960">
        <v>427</v>
      </c>
    </row>
    <row r="961" spans="1:6">
      <c r="A961" t="s">
        <v>1019</v>
      </c>
      <c r="B961">
        <v>2023</v>
      </c>
      <c r="C961" s="9">
        <v>44990</v>
      </c>
      <c r="D961" t="s">
        <v>22</v>
      </c>
      <c r="E961" t="s">
        <v>80</v>
      </c>
      <c r="F961">
        <v>0</v>
      </c>
    </row>
    <row r="962" spans="1:6">
      <c r="A962" t="s">
        <v>1020</v>
      </c>
      <c r="B962">
        <v>2023</v>
      </c>
      <c r="C962" s="9">
        <v>44991</v>
      </c>
      <c r="D962" t="s">
        <v>24</v>
      </c>
      <c r="E962" t="s">
        <v>80</v>
      </c>
      <c r="F962">
        <v>0</v>
      </c>
    </row>
    <row r="963" spans="1:6">
      <c r="A963" t="s">
        <v>1021</v>
      </c>
      <c r="B963">
        <v>2023</v>
      </c>
      <c r="C963" s="9">
        <v>44992</v>
      </c>
      <c r="D963" t="s">
        <v>7</v>
      </c>
      <c r="E963" t="s">
        <v>80</v>
      </c>
      <c r="F963">
        <v>711.8</v>
      </c>
    </row>
    <row r="964" spans="1:6">
      <c r="A964" t="s">
        <v>1022</v>
      </c>
      <c r="B964">
        <v>2023</v>
      </c>
      <c r="C964" s="9">
        <v>44993</v>
      </c>
      <c r="D964" t="s">
        <v>10</v>
      </c>
      <c r="E964" t="s">
        <v>80</v>
      </c>
      <c r="F964">
        <v>584</v>
      </c>
    </row>
    <row r="965" spans="1:6">
      <c r="A965" t="s">
        <v>1023</v>
      </c>
      <c r="B965">
        <v>2023</v>
      </c>
      <c r="C965" s="9">
        <v>44994</v>
      </c>
      <c r="D965" t="s">
        <v>13</v>
      </c>
      <c r="E965" t="s">
        <v>80</v>
      </c>
      <c r="F965">
        <v>543.79999999999995</v>
      </c>
    </row>
    <row r="966" spans="1:6">
      <c r="A966" t="s">
        <v>1024</v>
      </c>
      <c r="B966">
        <v>2023</v>
      </c>
      <c r="C966" s="9">
        <v>44995</v>
      </c>
      <c r="D966" t="s">
        <v>18</v>
      </c>
      <c r="E966" t="s">
        <v>80</v>
      </c>
      <c r="F966">
        <v>706</v>
      </c>
    </row>
    <row r="967" spans="1:6">
      <c r="A967" t="s">
        <v>1025</v>
      </c>
      <c r="B967">
        <v>2023</v>
      </c>
      <c r="C967" s="9">
        <v>44996</v>
      </c>
      <c r="D967" t="s">
        <v>20</v>
      </c>
      <c r="E967" t="s">
        <v>80</v>
      </c>
      <c r="F967">
        <v>365</v>
      </c>
    </row>
    <row r="968" spans="1:6">
      <c r="A968" t="s">
        <v>1026</v>
      </c>
      <c r="B968">
        <v>2023</v>
      </c>
      <c r="C968" s="9">
        <v>44997</v>
      </c>
      <c r="D968" t="s">
        <v>22</v>
      </c>
      <c r="E968" t="s">
        <v>80</v>
      </c>
      <c r="F968">
        <v>0</v>
      </c>
    </row>
    <row r="969" spans="1:6">
      <c r="A969" t="s">
        <v>1027</v>
      </c>
      <c r="B969">
        <v>2023</v>
      </c>
      <c r="C969" s="9">
        <v>44998</v>
      </c>
      <c r="D969" t="s">
        <v>24</v>
      </c>
      <c r="E969" t="s">
        <v>80</v>
      </c>
      <c r="F969">
        <v>0</v>
      </c>
    </row>
    <row r="970" spans="1:6">
      <c r="A970" t="s">
        <v>1028</v>
      </c>
      <c r="B970">
        <v>2023</v>
      </c>
      <c r="C970" s="9">
        <v>44999</v>
      </c>
      <c r="D970" t="s">
        <v>7</v>
      </c>
      <c r="E970" t="s">
        <v>80</v>
      </c>
      <c r="F970">
        <v>518</v>
      </c>
    </row>
    <row r="971" spans="1:6">
      <c r="A971" t="s">
        <v>1029</v>
      </c>
      <c r="B971">
        <v>2023</v>
      </c>
      <c r="C971" s="9">
        <v>45000</v>
      </c>
      <c r="D971" t="s">
        <v>10</v>
      </c>
      <c r="E971" t="s">
        <v>80</v>
      </c>
      <c r="F971">
        <v>509</v>
      </c>
    </row>
    <row r="972" spans="1:6">
      <c r="A972" t="s">
        <v>1030</v>
      </c>
      <c r="B972">
        <v>2023</v>
      </c>
      <c r="C972" s="9">
        <v>45001</v>
      </c>
      <c r="D972" t="s">
        <v>13</v>
      </c>
      <c r="E972" t="s">
        <v>80</v>
      </c>
      <c r="F972">
        <v>641</v>
      </c>
    </row>
    <row r="973" spans="1:6">
      <c r="A973" t="s">
        <v>1031</v>
      </c>
      <c r="B973">
        <v>2023</v>
      </c>
      <c r="C973" s="9">
        <v>45002</v>
      </c>
      <c r="D973" t="s">
        <v>18</v>
      </c>
      <c r="E973" t="s">
        <v>80</v>
      </c>
      <c r="F973">
        <v>822.8</v>
      </c>
    </row>
    <row r="974" spans="1:6">
      <c r="A974" t="s">
        <v>1032</v>
      </c>
      <c r="B974">
        <v>2023</v>
      </c>
      <c r="C974" s="9">
        <v>45003</v>
      </c>
      <c r="D974" t="s">
        <v>20</v>
      </c>
      <c r="E974" t="s">
        <v>80</v>
      </c>
      <c r="F974">
        <v>595.20000000000005</v>
      </c>
    </row>
    <row r="975" spans="1:6">
      <c r="A975" t="s">
        <v>1033</v>
      </c>
      <c r="B975">
        <v>2023</v>
      </c>
      <c r="C975" s="9">
        <v>45004</v>
      </c>
      <c r="D975" t="s">
        <v>22</v>
      </c>
      <c r="E975" t="s">
        <v>80</v>
      </c>
      <c r="F975">
        <v>0</v>
      </c>
    </row>
    <row r="976" spans="1:6">
      <c r="A976" t="s">
        <v>1034</v>
      </c>
      <c r="B976">
        <v>2023</v>
      </c>
      <c r="C976" s="9">
        <v>45005</v>
      </c>
      <c r="D976" t="s">
        <v>24</v>
      </c>
      <c r="E976" t="s">
        <v>80</v>
      </c>
      <c r="F976">
        <v>0</v>
      </c>
    </row>
    <row r="977" spans="1:6">
      <c r="A977" t="s">
        <v>1035</v>
      </c>
      <c r="B977">
        <v>2023</v>
      </c>
      <c r="C977" s="9">
        <v>45006</v>
      </c>
      <c r="D977" t="s">
        <v>7</v>
      </c>
      <c r="E977" t="s">
        <v>80</v>
      </c>
      <c r="F977">
        <v>651</v>
      </c>
    </row>
    <row r="978" spans="1:6">
      <c r="A978" t="s">
        <v>1036</v>
      </c>
      <c r="B978">
        <v>2023</v>
      </c>
      <c r="C978" s="9">
        <v>45007</v>
      </c>
      <c r="D978" t="s">
        <v>10</v>
      </c>
      <c r="E978" t="s">
        <v>80</v>
      </c>
      <c r="F978">
        <v>579</v>
      </c>
    </row>
    <row r="979" spans="1:6">
      <c r="A979" t="s">
        <v>1037</v>
      </c>
      <c r="B979">
        <v>2023</v>
      </c>
      <c r="C979" s="9">
        <v>45008</v>
      </c>
      <c r="D979" t="s">
        <v>13</v>
      </c>
      <c r="E979" t="s">
        <v>80</v>
      </c>
      <c r="F979">
        <v>418</v>
      </c>
    </row>
    <row r="980" spans="1:6">
      <c r="A980" t="s">
        <v>1038</v>
      </c>
      <c r="B980">
        <v>2023</v>
      </c>
      <c r="C980" s="9">
        <v>45009</v>
      </c>
      <c r="D980" t="s">
        <v>18</v>
      </c>
      <c r="E980" t="s">
        <v>80</v>
      </c>
      <c r="F980">
        <v>575.6</v>
      </c>
    </row>
    <row r="981" spans="1:6">
      <c r="A981" t="s">
        <v>1039</v>
      </c>
      <c r="B981">
        <v>2023</v>
      </c>
      <c r="C981" s="9">
        <v>45010</v>
      </c>
      <c r="D981" t="s">
        <v>20</v>
      </c>
      <c r="E981" t="s">
        <v>80</v>
      </c>
      <c r="F981">
        <v>383</v>
      </c>
    </row>
    <row r="982" spans="1:6">
      <c r="A982" t="s">
        <v>1040</v>
      </c>
      <c r="B982">
        <v>2023</v>
      </c>
      <c r="C982" s="9">
        <v>45011</v>
      </c>
      <c r="D982" t="s">
        <v>22</v>
      </c>
      <c r="E982" t="s">
        <v>80</v>
      </c>
      <c r="F982">
        <v>0</v>
      </c>
    </row>
    <row r="983" spans="1:6">
      <c r="A983" t="s">
        <v>1041</v>
      </c>
      <c r="B983">
        <v>2023</v>
      </c>
      <c r="C983" s="9">
        <v>45012</v>
      </c>
      <c r="D983" t="s">
        <v>24</v>
      </c>
      <c r="E983" t="s">
        <v>80</v>
      </c>
      <c r="F983">
        <v>0</v>
      </c>
    </row>
    <row r="984" spans="1:6">
      <c r="A984" t="s">
        <v>1042</v>
      </c>
      <c r="B984">
        <v>2023</v>
      </c>
      <c r="C984" s="9">
        <v>45013</v>
      </c>
      <c r="D984" t="s">
        <v>7</v>
      </c>
      <c r="E984" t="s">
        <v>80</v>
      </c>
      <c r="F984">
        <v>436.6</v>
      </c>
    </row>
    <row r="985" spans="1:6">
      <c r="A985" t="s">
        <v>1043</v>
      </c>
      <c r="B985">
        <v>2023</v>
      </c>
      <c r="C985" s="9">
        <v>45014</v>
      </c>
      <c r="D985" t="s">
        <v>10</v>
      </c>
      <c r="E985" t="s">
        <v>80</v>
      </c>
      <c r="F985">
        <v>380</v>
      </c>
    </row>
    <row r="986" spans="1:6">
      <c r="A986" t="s">
        <v>1044</v>
      </c>
      <c r="B986">
        <v>2023</v>
      </c>
      <c r="C986" s="9">
        <v>45015</v>
      </c>
      <c r="D986" t="s">
        <v>13</v>
      </c>
      <c r="E986" t="s">
        <v>80</v>
      </c>
      <c r="F986">
        <v>575</v>
      </c>
    </row>
    <row r="987" spans="1:6">
      <c r="A987" t="s">
        <v>1045</v>
      </c>
      <c r="B987">
        <v>2023</v>
      </c>
      <c r="C987" s="9">
        <v>45016</v>
      </c>
      <c r="D987" t="s">
        <v>18</v>
      </c>
      <c r="E987" t="s">
        <v>80</v>
      </c>
      <c r="F987">
        <v>683</v>
      </c>
    </row>
    <row r="988" spans="1:6">
      <c r="A988" t="s">
        <v>1046</v>
      </c>
      <c r="B988">
        <v>2023</v>
      </c>
      <c r="C988" s="9">
        <v>45017</v>
      </c>
      <c r="D988" t="s">
        <v>20</v>
      </c>
      <c r="E988" t="s">
        <v>112</v>
      </c>
      <c r="F988">
        <v>487</v>
      </c>
    </row>
    <row r="989" spans="1:6">
      <c r="A989" t="s">
        <v>1047</v>
      </c>
      <c r="B989">
        <v>2023</v>
      </c>
      <c r="C989" s="9">
        <v>45018</v>
      </c>
      <c r="D989" t="s">
        <v>22</v>
      </c>
      <c r="E989" t="s">
        <v>112</v>
      </c>
      <c r="F989">
        <v>0</v>
      </c>
    </row>
    <row r="990" spans="1:6">
      <c r="A990" t="s">
        <v>1048</v>
      </c>
      <c r="B990">
        <v>2023</v>
      </c>
      <c r="C990" s="9">
        <v>45019</v>
      </c>
      <c r="D990" t="s">
        <v>24</v>
      </c>
      <c r="E990" t="s">
        <v>112</v>
      </c>
      <c r="F990">
        <v>0</v>
      </c>
    </row>
    <row r="991" spans="1:6">
      <c r="A991" t="s">
        <v>1049</v>
      </c>
      <c r="B991">
        <v>2023</v>
      </c>
      <c r="C991" s="9">
        <v>45020</v>
      </c>
      <c r="D991" t="s">
        <v>7</v>
      </c>
      <c r="E991" t="s">
        <v>112</v>
      </c>
      <c r="F991">
        <v>600</v>
      </c>
    </row>
    <row r="992" spans="1:6">
      <c r="A992" t="s">
        <v>1050</v>
      </c>
      <c r="B992">
        <v>2023</v>
      </c>
      <c r="C992" s="9">
        <v>45021</v>
      </c>
      <c r="D992" t="s">
        <v>10</v>
      </c>
      <c r="E992" t="s">
        <v>112</v>
      </c>
      <c r="F992">
        <v>709</v>
      </c>
    </row>
    <row r="993" spans="1:6">
      <c r="A993" t="s">
        <v>1051</v>
      </c>
      <c r="B993">
        <v>2023</v>
      </c>
      <c r="C993" s="9">
        <v>45022</v>
      </c>
      <c r="D993" t="s">
        <v>13</v>
      </c>
      <c r="E993" t="s">
        <v>112</v>
      </c>
      <c r="F993">
        <v>679</v>
      </c>
    </row>
    <row r="994" spans="1:6">
      <c r="A994" t="s">
        <v>1052</v>
      </c>
      <c r="B994">
        <v>2023</v>
      </c>
      <c r="C994" s="9">
        <v>45023</v>
      </c>
      <c r="D994" t="s">
        <v>18</v>
      </c>
      <c r="E994" t="s">
        <v>112</v>
      </c>
      <c r="F994">
        <v>771</v>
      </c>
    </row>
    <row r="995" spans="1:6">
      <c r="A995" t="s">
        <v>1053</v>
      </c>
      <c r="B995">
        <v>2023</v>
      </c>
      <c r="C995" s="9">
        <v>45024</v>
      </c>
      <c r="D995" t="s">
        <v>20</v>
      </c>
      <c r="E995" t="s">
        <v>112</v>
      </c>
      <c r="F995">
        <v>473</v>
      </c>
    </row>
    <row r="996" spans="1:6">
      <c r="A996" t="s">
        <v>1054</v>
      </c>
      <c r="B996">
        <v>2023</v>
      </c>
      <c r="C996" s="9">
        <v>45025</v>
      </c>
      <c r="D996" t="s">
        <v>22</v>
      </c>
      <c r="E996" t="s">
        <v>112</v>
      </c>
      <c r="F996">
        <v>0</v>
      </c>
    </row>
    <row r="997" spans="1:6">
      <c r="A997" t="s">
        <v>1055</v>
      </c>
      <c r="B997">
        <v>2023</v>
      </c>
      <c r="C997" s="9">
        <v>45026</v>
      </c>
      <c r="D997" t="s">
        <v>24</v>
      </c>
      <c r="E997" t="s">
        <v>112</v>
      </c>
      <c r="F997">
        <v>0</v>
      </c>
    </row>
    <row r="998" spans="1:6">
      <c r="A998" t="s">
        <v>1056</v>
      </c>
      <c r="B998">
        <v>2023</v>
      </c>
      <c r="C998" s="9">
        <v>45027</v>
      </c>
      <c r="D998" t="s">
        <v>7</v>
      </c>
      <c r="E998" t="s">
        <v>112</v>
      </c>
      <c r="F998">
        <v>564.79999999999995</v>
      </c>
    </row>
    <row r="999" spans="1:6">
      <c r="A999" t="s">
        <v>1057</v>
      </c>
      <c r="B999">
        <v>2023</v>
      </c>
      <c r="C999" s="9">
        <v>45028</v>
      </c>
      <c r="D999" t="s">
        <v>10</v>
      </c>
      <c r="E999" t="s">
        <v>112</v>
      </c>
      <c r="F999">
        <v>817</v>
      </c>
    </row>
    <row r="1000" spans="1:6">
      <c r="A1000" t="s">
        <v>1058</v>
      </c>
      <c r="B1000">
        <v>2023</v>
      </c>
      <c r="C1000" s="9">
        <v>45029</v>
      </c>
      <c r="D1000" t="s">
        <v>13</v>
      </c>
      <c r="E1000" t="s">
        <v>112</v>
      </c>
      <c r="F1000">
        <v>338</v>
      </c>
    </row>
    <row r="1001" spans="1:6">
      <c r="A1001" t="s">
        <v>1059</v>
      </c>
      <c r="B1001">
        <v>2023</v>
      </c>
      <c r="C1001" s="9">
        <v>45030</v>
      </c>
      <c r="D1001" t="s">
        <v>18</v>
      </c>
      <c r="E1001" t="s">
        <v>112</v>
      </c>
      <c r="F1001">
        <v>750</v>
      </c>
    </row>
    <row r="1002" spans="1:6">
      <c r="A1002" t="s">
        <v>1060</v>
      </c>
      <c r="B1002">
        <v>2023</v>
      </c>
      <c r="C1002" s="9">
        <v>45031</v>
      </c>
      <c r="D1002" t="s">
        <v>20</v>
      </c>
      <c r="E1002" t="s">
        <v>112</v>
      </c>
      <c r="F1002">
        <v>369</v>
      </c>
    </row>
    <row r="1003" spans="1:6">
      <c r="A1003" t="s">
        <v>1061</v>
      </c>
      <c r="B1003">
        <v>2023</v>
      </c>
      <c r="C1003" s="9">
        <v>45032</v>
      </c>
      <c r="D1003" t="s">
        <v>22</v>
      </c>
      <c r="E1003" t="s">
        <v>112</v>
      </c>
      <c r="F1003">
        <v>0</v>
      </c>
    </row>
    <row r="1004" spans="1:6">
      <c r="A1004" t="s">
        <v>1062</v>
      </c>
      <c r="B1004">
        <v>2023</v>
      </c>
      <c r="C1004" s="9">
        <v>45033</v>
      </c>
      <c r="D1004" t="s">
        <v>24</v>
      </c>
      <c r="E1004" t="s">
        <v>112</v>
      </c>
      <c r="F1004">
        <v>0</v>
      </c>
    </row>
    <row r="1005" spans="1:6">
      <c r="A1005" t="s">
        <v>1063</v>
      </c>
      <c r="B1005">
        <v>2023</v>
      </c>
      <c r="C1005" s="9">
        <v>45034</v>
      </c>
      <c r="D1005" t="s">
        <v>7</v>
      </c>
      <c r="E1005" t="s">
        <v>112</v>
      </c>
      <c r="F1005">
        <v>191.4</v>
      </c>
    </row>
    <row r="1006" spans="1:6">
      <c r="A1006" t="s">
        <v>1064</v>
      </c>
      <c r="B1006">
        <v>2023</v>
      </c>
      <c r="C1006" s="9">
        <v>45035</v>
      </c>
      <c r="D1006" t="s">
        <v>10</v>
      </c>
      <c r="E1006" t="s">
        <v>112</v>
      </c>
      <c r="F1006">
        <v>631</v>
      </c>
    </row>
    <row r="1007" spans="1:6">
      <c r="A1007" t="s">
        <v>1065</v>
      </c>
      <c r="B1007">
        <v>2023</v>
      </c>
      <c r="C1007" s="9">
        <v>45036</v>
      </c>
      <c r="D1007" t="s">
        <v>13</v>
      </c>
      <c r="E1007" t="s">
        <v>112</v>
      </c>
      <c r="F1007">
        <v>665</v>
      </c>
    </row>
    <row r="1008" spans="1:6">
      <c r="A1008" t="s">
        <v>1066</v>
      </c>
      <c r="B1008">
        <v>2023</v>
      </c>
      <c r="C1008" s="9">
        <v>45037</v>
      </c>
      <c r="D1008" t="s">
        <v>18</v>
      </c>
      <c r="E1008" t="s">
        <v>112</v>
      </c>
      <c r="F1008">
        <v>568</v>
      </c>
    </row>
    <row r="1009" spans="1:6">
      <c r="A1009" t="s">
        <v>1067</v>
      </c>
      <c r="B1009">
        <v>2023</v>
      </c>
      <c r="C1009" s="9">
        <v>45038</v>
      </c>
      <c r="D1009" t="s">
        <v>20</v>
      </c>
      <c r="E1009" t="s">
        <v>112</v>
      </c>
      <c r="F1009">
        <v>441</v>
      </c>
    </row>
    <row r="1010" spans="1:6">
      <c r="A1010" t="s">
        <v>1068</v>
      </c>
      <c r="B1010">
        <v>2023</v>
      </c>
      <c r="C1010" s="9">
        <v>45039</v>
      </c>
      <c r="D1010" t="s">
        <v>22</v>
      </c>
      <c r="E1010" t="s">
        <v>112</v>
      </c>
      <c r="F1010">
        <v>0</v>
      </c>
    </row>
    <row r="1011" spans="1:6">
      <c r="A1011" t="s">
        <v>1069</v>
      </c>
      <c r="B1011">
        <v>2023</v>
      </c>
      <c r="C1011" s="9">
        <v>45040</v>
      </c>
      <c r="D1011" t="s">
        <v>24</v>
      </c>
      <c r="E1011" t="s">
        <v>112</v>
      </c>
      <c r="F1011">
        <v>0</v>
      </c>
    </row>
    <row r="1012" spans="1:6">
      <c r="A1012" t="s">
        <v>1070</v>
      </c>
      <c r="B1012">
        <v>2023</v>
      </c>
      <c r="C1012" s="9">
        <v>45041</v>
      </c>
      <c r="D1012" t="s">
        <v>7</v>
      </c>
      <c r="E1012" t="s">
        <v>112</v>
      </c>
      <c r="F1012">
        <v>465.2</v>
      </c>
    </row>
    <row r="1013" spans="1:6">
      <c r="A1013" t="s">
        <v>1071</v>
      </c>
      <c r="B1013">
        <v>2023</v>
      </c>
      <c r="C1013" s="9">
        <v>45042</v>
      </c>
      <c r="D1013" t="s">
        <v>10</v>
      </c>
      <c r="E1013" t="s">
        <v>112</v>
      </c>
      <c r="F1013">
        <v>515</v>
      </c>
    </row>
    <row r="1014" spans="1:6">
      <c r="A1014" t="s">
        <v>1072</v>
      </c>
      <c r="B1014">
        <v>2023</v>
      </c>
      <c r="C1014" s="9">
        <v>45043</v>
      </c>
      <c r="D1014" t="s">
        <v>13</v>
      </c>
      <c r="E1014" t="s">
        <v>112</v>
      </c>
      <c r="F1014">
        <v>504</v>
      </c>
    </row>
    <row r="1015" spans="1:6">
      <c r="A1015" t="s">
        <v>1073</v>
      </c>
      <c r="B1015">
        <v>2023</v>
      </c>
      <c r="C1015" s="9">
        <v>45044</v>
      </c>
      <c r="D1015" t="s">
        <v>18</v>
      </c>
      <c r="E1015" t="s">
        <v>112</v>
      </c>
      <c r="F1015">
        <v>540</v>
      </c>
    </row>
    <row r="1016" spans="1:6">
      <c r="A1016" t="s">
        <v>1074</v>
      </c>
      <c r="B1016">
        <v>2023</v>
      </c>
      <c r="C1016" s="9">
        <v>45045</v>
      </c>
      <c r="D1016" t="s">
        <v>20</v>
      </c>
      <c r="E1016" t="s">
        <v>112</v>
      </c>
      <c r="F1016">
        <v>327</v>
      </c>
    </row>
    <row r="1017" spans="1:6">
      <c r="A1017" t="s">
        <v>1075</v>
      </c>
      <c r="B1017">
        <v>2023</v>
      </c>
      <c r="C1017" s="9">
        <v>45046</v>
      </c>
      <c r="D1017" t="s">
        <v>22</v>
      </c>
      <c r="E1017" t="s">
        <v>112</v>
      </c>
      <c r="F1017">
        <v>0</v>
      </c>
    </row>
    <row r="1018" spans="1:6">
      <c r="A1018" t="s">
        <v>1076</v>
      </c>
      <c r="B1018">
        <v>2023</v>
      </c>
      <c r="C1018" s="9">
        <v>45047</v>
      </c>
      <c r="D1018" t="s">
        <v>24</v>
      </c>
      <c r="E1018" t="s">
        <v>112</v>
      </c>
      <c r="F1018">
        <v>0</v>
      </c>
    </row>
    <row r="1019" spans="1:6">
      <c r="A1019" t="s">
        <v>1077</v>
      </c>
      <c r="B1019">
        <v>2023</v>
      </c>
      <c r="C1019" s="9">
        <v>45048</v>
      </c>
      <c r="D1019" t="s">
        <v>7</v>
      </c>
      <c r="E1019" t="s">
        <v>143</v>
      </c>
      <c r="F1019">
        <v>605</v>
      </c>
    </row>
    <row r="1020" spans="1:6">
      <c r="A1020" t="s">
        <v>1078</v>
      </c>
      <c r="B1020">
        <v>2023</v>
      </c>
      <c r="C1020" s="9">
        <v>45049</v>
      </c>
      <c r="D1020" t="s">
        <v>10</v>
      </c>
      <c r="E1020" t="s">
        <v>143</v>
      </c>
      <c r="F1020">
        <v>681.8</v>
      </c>
    </row>
    <row r="1021" spans="1:6">
      <c r="A1021" t="s">
        <v>1079</v>
      </c>
      <c r="B1021">
        <v>2023</v>
      </c>
      <c r="C1021" s="9">
        <v>45050</v>
      </c>
      <c r="D1021" t="s">
        <v>13</v>
      </c>
      <c r="E1021" t="s">
        <v>143</v>
      </c>
      <c r="F1021">
        <v>756.8</v>
      </c>
    </row>
    <row r="1022" spans="1:6">
      <c r="A1022" t="s">
        <v>1080</v>
      </c>
      <c r="B1022">
        <v>2023</v>
      </c>
      <c r="C1022" s="9">
        <v>45051</v>
      </c>
      <c r="D1022" t="s">
        <v>18</v>
      </c>
      <c r="E1022" t="s">
        <v>143</v>
      </c>
      <c r="F1022">
        <v>777.99</v>
      </c>
    </row>
    <row r="1023" spans="1:6">
      <c r="A1023" t="s">
        <v>1081</v>
      </c>
      <c r="B1023">
        <v>2023</v>
      </c>
      <c r="C1023" s="9">
        <v>45052</v>
      </c>
      <c r="D1023" t="s">
        <v>20</v>
      </c>
      <c r="E1023" t="s">
        <v>143</v>
      </c>
      <c r="F1023">
        <v>533</v>
      </c>
    </row>
    <row r="1024" spans="1:6">
      <c r="A1024" t="s">
        <v>1082</v>
      </c>
      <c r="B1024">
        <v>2023</v>
      </c>
      <c r="C1024" s="9">
        <v>45053</v>
      </c>
      <c r="D1024" t="s">
        <v>22</v>
      </c>
      <c r="E1024" t="s">
        <v>143</v>
      </c>
      <c r="F1024">
        <v>0</v>
      </c>
    </row>
    <row r="1025" spans="1:6">
      <c r="A1025" t="s">
        <v>1083</v>
      </c>
      <c r="B1025">
        <v>2023</v>
      </c>
      <c r="C1025" s="9">
        <v>45054</v>
      </c>
      <c r="D1025" t="s">
        <v>24</v>
      </c>
      <c r="E1025" t="s">
        <v>143</v>
      </c>
      <c r="F1025">
        <v>0</v>
      </c>
    </row>
    <row r="1026" spans="1:6">
      <c r="A1026" t="s">
        <v>1084</v>
      </c>
      <c r="B1026">
        <v>2023</v>
      </c>
      <c r="C1026" s="9">
        <v>45055</v>
      </c>
      <c r="D1026" t="s">
        <v>7</v>
      </c>
      <c r="E1026" t="s">
        <v>143</v>
      </c>
      <c r="F1026">
        <v>628</v>
      </c>
    </row>
    <row r="1027" spans="1:6">
      <c r="A1027" t="s">
        <v>1085</v>
      </c>
      <c r="B1027">
        <v>2023</v>
      </c>
      <c r="C1027" s="9">
        <v>45056</v>
      </c>
      <c r="D1027" t="s">
        <v>10</v>
      </c>
      <c r="E1027" t="s">
        <v>143</v>
      </c>
      <c r="F1027">
        <v>623</v>
      </c>
    </row>
    <row r="1028" spans="1:6">
      <c r="A1028" t="s">
        <v>1086</v>
      </c>
      <c r="B1028">
        <v>2023</v>
      </c>
      <c r="C1028" s="9">
        <v>45057</v>
      </c>
      <c r="D1028" t="s">
        <v>13</v>
      </c>
      <c r="E1028" t="s">
        <v>143</v>
      </c>
      <c r="F1028">
        <v>447.8</v>
      </c>
    </row>
    <row r="1029" spans="1:6">
      <c r="A1029" t="s">
        <v>1087</v>
      </c>
      <c r="B1029">
        <v>2023</v>
      </c>
      <c r="C1029" s="9">
        <v>45058</v>
      </c>
      <c r="D1029" t="s">
        <v>18</v>
      </c>
      <c r="E1029" t="s">
        <v>143</v>
      </c>
      <c r="F1029">
        <v>740</v>
      </c>
    </row>
    <row r="1030" spans="1:6">
      <c r="A1030" t="s">
        <v>1088</v>
      </c>
      <c r="B1030">
        <v>2023</v>
      </c>
      <c r="C1030" s="9">
        <v>45059</v>
      </c>
      <c r="D1030" t="s">
        <v>20</v>
      </c>
      <c r="E1030" t="s">
        <v>143</v>
      </c>
      <c r="F1030">
        <v>491.2</v>
      </c>
    </row>
    <row r="1031" spans="1:6">
      <c r="A1031" t="s">
        <v>1089</v>
      </c>
      <c r="B1031">
        <v>2023</v>
      </c>
      <c r="C1031" s="9">
        <v>45060</v>
      </c>
      <c r="D1031" t="s">
        <v>22</v>
      </c>
      <c r="E1031" t="s">
        <v>143</v>
      </c>
      <c r="F1031">
        <v>0</v>
      </c>
    </row>
    <row r="1032" spans="1:6">
      <c r="A1032" t="s">
        <v>1090</v>
      </c>
      <c r="B1032">
        <v>2023</v>
      </c>
      <c r="C1032" s="9">
        <v>45061</v>
      </c>
      <c r="D1032" t="s">
        <v>24</v>
      </c>
      <c r="E1032" t="s">
        <v>143</v>
      </c>
      <c r="F1032">
        <v>0</v>
      </c>
    </row>
    <row r="1033" spans="1:6">
      <c r="A1033" t="s">
        <v>1091</v>
      </c>
      <c r="B1033">
        <v>2023</v>
      </c>
      <c r="C1033" s="9">
        <v>45062</v>
      </c>
      <c r="D1033" t="s">
        <v>7</v>
      </c>
      <c r="E1033" t="s">
        <v>143</v>
      </c>
      <c r="F1033">
        <v>340</v>
      </c>
    </row>
    <row r="1034" spans="1:6">
      <c r="A1034" t="s">
        <v>1092</v>
      </c>
      <c r="B1034">
        <v>2023</v>
      </c>
      <c r="C1034" s="9">
        <v>45063</v>
      </c>
      <c r="D1034" t="s">
        <v>10</v>
      </c>
      <c r="E1034" t="s">
        <v>143</v>
      </c>
      <c r="F1034">
        <v>506</v>
      </c>
    </row>
    <row r="1035" spans="1:6">
      <c r="A1035" t="s">
        <v>1093</v>
      </c>
      <c r="B1035">
        <v>2023</v>
      </c>
      <c r="C1035" s="9">
        <v>45064</v>
      </c>
      <c r="D1035" t="s">
        <v>13</v>
      </c>
      <c r="E1035" t="s">
        <v>143</v>
      </c>
      <c r="F1035">
        <v>238</v>
      </c>
    </row>
    <row r="1036" spans="1:6">
      <c r="A1036" t="s">
        <v>1094</v>
      </c>
      <c r="B1036">
        <v>2023</v>
      </c>
      <c r="C1036" s="9">
        <v>45065</v>
      </c>
      <c r="D1036" t="s">
        <v>18</v>
      </c>
      <c r="E1036" t="s">
        <v>143</v>
      </c>
      <c r="F1036">
        <v>473</v>
      </c>
    </row>
    <row r="1037" spans="1:6">
      <c r="A1037" t="s">
        <v>1095</v>
      </c>
      <c r="B1037">
        <v>2023</v>
      </c>
      <c r="C1037" s="9">
        <v>45066</v>
      </c>
      <c r="D1037" t="s">
        <v>20</v>
      </c>
      <c r="E1037" t="s">
        <v>143</v>
      </c>
      <c r="F1037">
        <v>424</v>
      </c>
    </row>
    <row r="1038" spans="1:6">
      <c r="A1038" t="s">
        <v>1096</v>
      </c>
      <c r="B1038">
        <v>2023</v>
      </c>
      <c r="C1038" s="9">
        <v>45067</v>
      </c>
      <c r="D1038" t="s">
        <v>22</v>
      </c>
      <c r="E1038" t="s">
        <v>143</v>
      </c>
      <c r="F1038">
        <v>0</v>
      </c>
    </row>
    <row r="1039" spans="1:6">
      <c r="A1039" t="s">
        <v>1097</v>
      </c>
      <c r="B1039">
        <v>2023</v>
      </c>
      <c r="C1039" s="9">
        <v>45068</v>
      </c>
      <c r="D1039" t="s">
        <v>24</v>
      </c>
      <c r="E1039" t="s">
        <v>143</v>
      </c>
      <c r="F1039">
        <v>0</v>
      </c>
    </row>
    <row r="1040" spans="1:6">
      <c r="A1040" t="s">
        <v>1098</v>
      </c>
      <c r="B1040">
        <v>2023</v>
      </c>
      <c r="C1040" s="9">
        <v>45069</v>
      </c>
      <c r="D1040" t="s">
        <v>7</v>
      </c>
      <c r="E1040" t="s">
        <v>143</v>
      </c>
      <c r="F1040">
        <v>655.8</v>
      </c>
    </row>
    <row r="1041" spans="1:6">
      <c r="A1041" t="s">
        <v>1099</v>
      </c>
      <c r="B1041">
        <v>2023</v>
      </c>
      <c r="C1041" s="9">
        <v>45070</v>
      </c>
      <c r="D1041" t="s">
        <v>10</v>
      </c>
      <c r="E1041" t="s">
        <v>143</v>
      </c>
      <c r="F1041">
        <v>671.6</v>
      </c>
    </row>
    <row r="1042" spans="1:6">
      <c r="A1042" t="s">
        <v>1100</v>
      </c>
      <c r="B1042">
        <v>2023</v>
      </c>
      <c r="C1042" s="9">
        <v>45071</v>
      </c>
      <c r="D1042" t="s">
        <v>13</v>
      </c>
      <c r="E1042" t="s">
        <v>143</v>
      </c>
      <c r="F1042">
        <v>813.2</v>
      </c>
    </row>
    <row r="1043" spans="1:6">
      <c r="A1043" t="s">
        <v>1101</v>
      </c>
      <c r="B1043">
        <v>2023</v>
      </c>
      <c r="C1043" s="9">
        <v>45072</v>
      </c>
      <c r="D1043" t="s">
        <v>18</v>
      </c>
      <c r="E1043" t="s">
        <v>143</v>
      </c>
      <c r="F1043">
        <v>806</v>
      </c>
    </row>
    <row r="1044" spans="1:6">
      <c r="A1044" t="s">
        <v>1102</v>
      </c>
      <c r="B1044">
        <v>2023</v>
      </c>
      <c r="C1044" s="9">
        <v>45073</v>
      </c>
      <c r="D1044" t="s">
        <v>20</v>
      </c>
      <c r="E1044" t="s">
        <v>143</v>
      </c>
      <c r="F1044">
        <v>475</v>
      </c>
    </row>
    <row r="1045" spans="1:6">
      <c r="A1045" t="s">
        <v>1103</v>
      </c>
      <c r="B1045">
        <v>2023</v>
      </c>
      <c r="C1045" s="9">
        <v>45074</v>
      </c>
      <c r="D1045" t="s">
        <v>22</v>
      </c>
      <c r="E1045" t="s">
        <v>143</v>
      </c>
      <c r="F1045">
        <v>0</v>
      </c>
    </row>
    <row r="1046" spans="1:6">
      <c r="A1046" t="s">
        <v>1104</v>
      </c>
      <c r="B1046">
        <v>2023</v>
      </c>
      <c r="C1046" s="9">
        <v>45075</v>
      </c>
      <c r="D1046" t="s">
        <v>24</v>
      </c>
      <c r="E1046" t="s">
        <v>143</v>
      </c>
      <c r="F1046">
        <v>0</v>
      </c>
    </row>
    <row r="1047" spans="1:6">
      <c r="A1047" t="s">
        <v>1105</v>
      </c>
      <c r="B1047">
        <v>2023</v>
      </c>
      <c r="C1047" s="9">
        <v>45076</v>
      </c>
      <c r="D1047" t="s">
        <v>7</v>
      </c>
      <c r="E1047" t="s">
        <v>143</v>
      </c>
      <c r="F1047">
        <v>634</v>
      </c>
    </row>
    <row r="1048" spans="1:6">
      <c r="A1048" t="s">
        <v>1106</v>
      </c>
      <c r="B1048">
        <v>2023</v>
      </c>
      <c r="C1048" s="9">
        <v>45077</v>
      </c>
      <c r="D1048" t="s">
        <v>10</v>
      </c>
      <c r="E1048" t="s">
        <v>143</v>
      </c>
      <c r="F1048">
        <v>583.79999999999995</v>
      </c>
    </row>
    <row r="1049" spans="1:6">
      <c r="A1049" t="s">
        <v>1107</v>
      </c>
      <c r="B1049">
        <v>2023</v>
      </c>
      <c r="C1049" s="9">
        <v>45078</v>
      </c>
      <c r="D1049" t="s">
        <v>13</v>
      </c>
      <c r="E1049" t="s">
        <v>174</v>
      </c>
      <c r="F1049">
        <v>497</v>
      </c>
    </row>
    <row r="1050" spans="1:6">
      <c r="A1050" t="s">
        <v>1108</v>
      </c>
      <c r="B1050">
        <v>2023</v>
      </c>
      <c r="C1050" s="9">
        <v>45079</v>
      </c>
      <c r="D1050" t="s">
        <v>18</v>
      </c>
      <c r="E1050" t="s">
        <v>174</v>
      </c>
      <c r="F1050">
        <v>502</v>
      </c>
    </row>
    <row r="1051" spans="1:6">
      <c r="A1051" t="s">
        <v>1109</v>
      </c>
      <c r="B1051">
        <v>2023</v>
      </c>
      <c r="C1051" s="9">
        <v>45080</v>
      </c>
      <c r="D1051" t="s">
        <v>20</v>
      </c>
      <c r="E1051" t="s">
        <v>174</v>
      </c>
      <c r="F1051">
        <v>468.2</v>
      </c>
    </row>
    <row r="1052" spans="1:6">
      <c r="A1052" t="s">
        <v>1110</v>
      </c>
      <c r="B1052">
        <v>2023</v>
      </c>
      <c r="C1052" s="9">
        <v>45081</v>
      </c>
      <c r="D1052" t="s">
        <v>22</v>
      </c>
      <c r="E1052" t="s">
        <v>174</v>
      </c>
      <c r="F1052">
        <v>0</v>
      </c>
    </row>
    <row r="1053" spans="1:6">
      <c r="A1053" t="s">
        <v>1111</v>
      </c>
      <c r="B1053">
        <v>2023</v>
      </c>
      <c r="C1053" s="9">
        <v>45082</v>
      </c>
      <c r="D1053" t="s">
        <v>24</v>
      </c>
      <c r="E1053" t="s">
        <v>174</v>
      </c>
      <c r="F1053">
        <v>0</v>
      </c>
    </row>
    <row r="1054" spans="1:6">
      <c r="A1054" t="s">
        <v>1112</v>
      </c>
      <c r="B1054">
        <v>2023</v>
      </c>
      <c r="C1054" s="9">
        <v>45083</v>
      </c>
      <c r="D1054" t="s">
        <v>7</v>
      </c>
      <c r="E1054" t="s">
        <v>174</v>
      </c>
      <c r="F1054">
        <v>835.8</v>
      </c>
    </row>
    <row r="1055" spans="1:6">
      <c r="A1055" t="s">
        <v>1113</v>
      </c>
      <c r="B1055">
        <v>2023</v>
      </c>
      <c r="C1055" s="9">
        <v>45084</v>
      </c>
      <c r="D1055" t="s">
        <v>10</v>
      </c>
      <c r="E1055" t="s">
        <v>174</v>
      </c>
      <c r="F1055">
        <v>878</v>
      </c>
    </row>
    <row r="1056" spans="1:6">
      <c r="A1056" t="s">
        <v>1114</v>
      </c>
      <c r="B1056">
        <v>2023</v>
      </c>
      <c r="C1056" s="9">
        <v>45085</v>
      </c>
      <c r="D1056" t="s">
        <v>13</v>
      </c>
      <c r="E1056" t="s">
        <v>174</v>
      </c>
      <c r="F1056">
        <v>598</v>
      </c>
    </row>
    <row r="1057" spans="1:6">
      <c r="A1057" t="s">
        <v>1115</v>
      </c>
      <c r="B1057">
        <v>2023</v>
      </c>
      <c r="C1057" s="9">
        <v>45086</v>
      </c>
      <c r="D1057" t="s">
        <v>18</v>
      </c>
      <c r="E1057" t="s">
        <v>174</v>
      </c>
      <c r="F1057">
        <v>605</v>
      </c>
    </row>
    <row r="1058" spans="1:6">
      <c r="A1058" t="s">
        <v>1116</v>
      </c>
      <c r="B1058">
        <v>2023</v>
      </c>
      <c r="C1058" s="9">
        <v>45087</v>
      </c>
      <c r="D1058" t="s">
        <v>20</v>
      </c>
      <c r="E1058" t="s">
        <v>174</v>
      </c>
      <c r="F1058">
        <v>378</v>
      </c>
    </row>
    <row r="1059" spans="1:6">
      <c r="A1059" t="s">
        <v>1117</v>
      </c>
      <c r="B1059">
        <v>2023</v>
      </c>
      <c r="C1059" s="9">
        <v>45088</v>
      </c>
      <c r="D1059" t="s">
        <v>22</v>
      </c>
      <c r="E1059" t="s">
        <v>174</v>
      </c>
      <c r="F1059">
        <v>0</v>
      </c>
    </row>
    <row r="1060" spans="1:6">
      <c r="A1060" t="s">
        <v>1118</v>
      </c>
      <c r="B1060">
        <v>2023</v>
      </c>
      <c r="C1060" s="9">
        <v>45089</v>
      </c>
      <c r="D1060" t="s">
        <v>24</v>
      </c>
      <c r="E1060" t="s">
        <v>174</v>
      </c>
      <c r="F1060">
        <v>0</v>
      </c>
    </row>
    <row r="1061" spans="1:6">
      <c r="A1061" t="s">
        <v>1119</v>
      </c>
      <c r="B1061">
        <v>2023</v>
      </c>
      <c r="C1061" s="9">
        <v>45090</v>
      </c>
      <c r="D1061" t="s">
        <v>7</v>
      </c>
      <c r="E1061" t="s">
        <v>174</v>
      </c>
      <c r="F1061">
        <v>502</v>
      </c>
    </row>
    <row r="1062" spans="1:6">
      <c r="A1062" t="s">
        <v>1120</v>
      </c>
      <c r="B1062">
        <v>2023</v>
      </c>
      <c r="C1062" s="9">
        <v>45091</v>
      </c>
      <c r="D1062" t="s">
        <v>10</v>
      </c>
      <c r="E1062" t="s">
        <v>174</v>
      </c>
      <c r="F1062">
        <v>724</v>
      </c>
    </row>
    <row r="1063" spans="1:6">
      <c r="A1063" t="s">
        <v>1121</v>
      </c>
      <c r="B1063">
        <v>2023</v>
      </c>
      <c r="C1063" s="9">
        <v>45092</v>
      </c>
      <c r="D1063" t="s">
        <v>13</v>
      </c>
      <c r="E1063" t="s">
        <v>174</v>
      </c>
      <c r="F1063">
        <v>579</v>
      </c>
    </row>
    <row r="1064" spans="1:6">
      <c r="A1064" t="s">
        <v>1122</v>
      </c>
      <c r="B1064">
        <v>2023</v>
      </c>
      <c r="C1064" s="9">
        <v>45093</v>
      </c>
      <c r="D1064" t="s">
        <v>18</v>
      </c>
      <c r="E1064" t="s">
        <v>174</v>
      </c>
      <c r="F1064">
        <v>703</v>
      </c>
    </row>
    <row r="1065" spans="1:6">
      <c r="A1065" t="s">
        <v>1123</v>
      </c>
      <c r="B1065">
        <v>2023</v>
      </c>
      <c r="C1065" s="9">
        <v>45094</v>
      </c>
      <c r="D1065" t="s">
        <v>20</v>
      </c>
      <c r="E1065" t="s">
        <v>174</v>
      </c>
      <c r="F1065">
        <v>612</v>
      </c>
    </row>
    <row r="1066" spans="1:6">
      <c r="A1066" t="s">
        <v>1124</v>
      </c>
      <c r="B1066">
        <v>2023</v>
      </c>
      <c r="C1066" s="9">
        <v>45095</v>
      </c>
      <c r="D1066" t="s">
        <v>22</v>
      </c>
      <c r="E1066" t="s">
        <v>174</v>
      </c>
      <c r="F1066">
        <v>0</v>
      </c>
    </row>
    <row r="1067" spans="1:6">
      <c r="A1067" t="s">
        <v>1125</v>
      </c>
      <c r="B1067">
        <v>2023</v>
      </c>
      <c r="C1067" s="9">
        <v>45096</v>
      </c>
      <c r="D1067" t="s">
        <v>24</v>
      </c>
      <c r="E1067" t="s">
        <v>174</v>
      </c>
      <c r="F1067">
        <v>0</v>
      </c>
    </row>
    <row r="1068" spans="1:6">
      <c r="A1068" t="s">
        <v>1126</v>
      </c>
      <c r="B1068">
        <v>2023</v>
      </c>
      <c r="C1068" s="9">
        <v>45097</v>
      </c>
      <c r="D1068" t="s">
        <v>7</v>
      </c>
      <c r="E1068" t="s">
        <v>174</v>
      </c>
      <c r="F1068">
        <v>366</v>
      </c>
    </row>
    <row r="1069" spans="1:6">
      <c r="A1069" t="s">
        <v>1127</v>
      </c>
      <c r="B1069">
        <v>2023</v>
      </c>
      <c r="C1069" s="9">
        <v>45098</v>
      </c>
      <c r="D1069" t="s">
        <v>10</v>
      </c>
      <c r="E1069" t="s">
        <v>174</v>
      </c>
      <c r="F1069">
        <v>603</v>
      </c>
    </row>
    <row r="1070" spans="1:6">
      <c r="A1070" t="s">
        <v>1128</v>
      </c>
      <c r="B1070">
        <v>2023</v>
      </c>
      <c r="C1070" s="9">
        <v>45099</v>
      </c>
      <c r="D1070" t="s">
        <v>13</v>
      </c>
      <c r="E1070" t="s">
        <v>174</v>
      </c>
      <c r="F1070">
        <v>601</v>
      </c>
    </row>
    <row r="1071" spans="1:6">
      <c r="A1071" t="s">
        <v>1129</v>
      </c>
      <c r="B1071">
        <v>2023</v>
      </c>
      <c r="C1071" s="9">
        <v>45100</v>
      </c>
      <c r="D1071" t="s">
        <v>18</v>
      </c>
      <c r="E1071" t="s">
        <v>174</v>
      </c>
      <c r="F1071">
        <v>505</v>
      </c>
    </row>
    <row r="1072" spans="1:6">
      <c r="A1072" t="s">
        <v>1130</v>
      </c>
      <c r="B1072">
        <v>2023</v>
      </c>
      <c r="C1072" s="9">
        <v>45101</v>
      </c>
      <c r="D1072" t="s">
        <v>20</v>
      </c>
      <c r="E1072" t="s">
        <v>174</v>
      </c>
      <c r="F1072">
        <v>484</v>
      </c>
    </row>
    <row r="1073" spans="1:6">
      <c r="A1073" t="s">
        <v>1131</v>
      </c>
      <c r="B1073">
        <v>2023</v>
      </c>
      <c r="C1073" s="9">
        <v>45102</v>
      </c>
      <c r="D1073" t="s">
        <v>22</v>
      </c>
      <c r="E1073" t="s">
        <v>174</v>
      </c>
      <c r="F1073">
        <v>0</v>
      </c>
    </row>
    <row r="1074" spans="1:6">
      <c r="A1074" t="s">
        <v>1132</v>
      </c>
      <c r="B1074">
        <v>2023</v>
      </c>
      <c r="C1074" s="9">
        <v>45103</v>
      </c>
      <c r="D1074" t="s">
        <v>24</v>
      </c>
      <c r="E1074" t="s">
        <v>174</v>
      </c>
      <c r="F1074">
        <v>0</v>
      </c>
    </row>
    <row r="1075" spans="1:6">
      <c r="A1075" t="s">
        <v>1133</v>
      </c>
      <c r="B1075">
        <v>2023</v>
      </c>
      <c r="C1075" s="9">
        <v>45104</v>
      </c>
      <c r="D1075" t="s">
        <v>7</v>
      </c>
      <c r="E1075" t="s">
        <v>174</v>
      </c>
      <c r="F1075">
        <v>312</v>
      </c>
    </row>
    <row r="1076" spans="1:6">
      <c r="A1076" t="s">
        <v>1134</v>
      </c>
      <c r="B1076">
        <v>2023</v>
      </c>
      <c r="C1076" s="9">
        <v>45105</v>
      </c>
      <c r="D1076" t="s">
        <v>10</v>
      </c>
      <c r="E1076" t="s">
        <v>174</v>
      </c>
      <c r="F1076">
        <v>420</v>
      </c>
    </row>
    <row r="1077" spans="1:6">
      <c r="A1077" t="s">
        <v>1135</v>
      </c>
      <c r="B1077">
        <v>2023</v>
      </c>
      <c r="C1077" s="9">
        <v>45106</v>
      </c>
      <c r="D1077" t="s">
        <v>13</v>
      </c>
      <c r="E1077" t="s">
        <v>174</v>
      </c>
      <c r="F1077">
        <v>433</v>
      </c>
    </row>
    <row r="1078" spans="1:6">
      <c r="A1078" t="s">
        <v>1136</v>
      </c>
      <c r="B1078">
        <v>2023</v>
      </c>
      <c r="C1078" s="9">
        <v>45107</v>
      </c>
      <c r="D1078" t="s">
        <v>18</v>
      </c>
      <c r="E1078" t="s">
        <v>174</v>
      </c>
    </row>
    <row r="1079" spans="1:6">
      <c r="A1079" t="s">
        <v>1137</v>
      </c>
      <c r="B1079">
        <v>2023</v>
      </c>
      <c r="C1079" s="9">
        <v>45108</v>
      </c>
      <c r="D1079" t="s">
        <v>20</v>
      </c>
      <c r="E1079" t="s">
        <v>8</v>
      </c>
      <c r="F1079">
        <v>288</v>
      </c>
    </row>
    <row r="1080" spans="1:6">
      <c r="A1080" t="s">
        <v>1138</v>
      </c>
      <c r="B1080">
        <v>2023</v>
      </c>
      <c r="C1080" s="9">
        <v>45109</v>
      </c>
      <c r="D1080" t="s">
        <v>22</v>
      </c>
      <c r="E1080" t="s">
        <v>8</v>
      </c>
      <c r="F1080">
        <v>0</v>
      </c>
    </row>
    <row r="1081" spans="1:6">
      <c r="A1081" t="s">
        <v>1139</v>
      </c>
      <c r="B1081">
        <v>2023</v>
      </c>
      <c r="C1081" s="9">
        <v>45110</v>
      </c>
      <c r="D1081" t="s">
        <v>24</v>
      </c>
      <c r="E1081" t="s">
        <v>8</v>
      </c>
      <c r="F1081">
        <v>0</v>
      </c>
    </row>
    <row r="1082" spans="1:6">
      <c r="A1082" t="s">
        <v>1140</v>
      </c>
      <c r="B1082">
        <v>2023</v>
      </c>
      <c r="C1082" s="9">
        <v>45111</v>
      </c>
      <c r="D1082" t="s">
        <v>7</v>
      </c>
      <c r="E1082" t="s">
        <v>8</v>
      </c>
      <c r="F1082">
        <v>406.8</v>
      </c>
    </row>
    <row r="1083" spans="1:6">
      <c r="A1083" t="s">
        <v>1141</v>
      </c>
      <c r="B1083">
        <v>2023</v>
      </c>
      <c r="C1083" s="9">
        <v>45112</v>
      </c>
      <c r="D1083" t="s">
        <v>10</v>
      </c>
      <c r="E1083" t="s">
        <v>8</v>
      </c>
      <c r="F1083">
        <v>616</v>
      </c>
    </row>
    <row r="1084" spans="1:6">
      <c r="A1084" t="s">
        <v>1142</v>
      </c>
      <c r="B1084">
        <v>2023</v>
      </c>
      <c r="C1084" s="9">
        <v>45113</v>
      </c>
      <c r="D1084" t="s">
        <v>13</v>
      </c>
      <c r="E1084" t="s">
        <v>8</v>
      </c>
      <c r="F1084">
        <v>695</v>
      </c>
    </row>
    <row r="1085" spans="1:6">
      <c r="A1085" t="s">
        <v>1143</v>
      </c>
      <c r="B1085">
        <v>2023</v>
      </c>
      <c r="C1085" s="9">
        <v>45114</v>
      </c>
      <c r="D1085" t="s">
        <v>18</v>
      </c>
      <c r="E1085" t="s">
        <v>8</v>
      </c>
      <c r="F1085">
        <v>818</v>
      </c>
    </row>
    <row r="1086" spans="1:6">
      <c r="A1086" t="s">
        <v>1144</v>
      </c>
      <c r="B1086">
        <v>2023</v>
      </c>
      <c r="C1086" s="9">
        <v>45115</v>
      </c>
      <c r="D1086" t="s">
        <v>20</v>
      </c>
      <c r="E1086" t="s">
        <v>8</v>
      </c>
      <c r="F1086">
        <v>432</v>
      </c>
    </row>
    <row r="1087" spans="1:6">
      <c r="A1087" t="s">
        <v>1145</v>
      </c>
      <c r="B1087">
        <v>2023</v>
      </c>
      <c r="C1087" s="9">
        <v>45116</v>
      </c>
      <c r="D1087" t="s">
        <v>22</v>
      </c>
      <c r="E1087" t="s">
        <v>8</v>
      </c>
      <c r="F1087">
        <v>0</v>
      </c>
    </row>
    <row r="1088" spans="1:6">
      <c r="A1088" t="s">
        <v>1146</v>
      </c>
      <c r="B1088">
        <v>2023</v>
      </c>
      <c r="C1088" s="9">
        <v>45117</v>
      </c>
      <c r="D1088" t="s">
        <v>24</v>
      </c>
      <c r="E1088" t="s">
        <v>8</v>
      </c>
      <c r="F1088">
        <v>0</v>
      </c>
    </row>
    <row r="1089" spans="1:6">
      <c r="A1089" t="s">
        <v>1147</v>
      </c>
      <c r="B1089">
        <v>2023</v>
      </c>
      <c r="C1089" s="9">
        <v>45118</v>
      </c>
      <c r="D1089" t="s">
        <v>7</v>
      </c>
      <c r="E1089" t="s">
        <v>8</v>
      </c>
      <c r="F1089">
        <v>469</v>
      </c>
    </row>
    <row r="1090" spans="1:6">
      <c r="A1090" t="s">
        <v>1148</v>
      </c>
      <c r="B1090">
        <v>2023</v>
      </c>
      <c r="C1090" s="9">
        <v>45119</v>
      </c>
      <c r="D1090" t="s">
        <v>10</v>
      </c>
      <c r="E1090" t="s">
        <v>8</v>
      </c>
      <c r="F1090">
        <v>476</v>
      </c>
    </row>
    <row r="1091" spans="1:6">
      <c r="A1091" t="s">
        <v>1149</v>
      </c>
      <c r="B1091">
        <v>2023</v>
      </c>
      <c r="C1091" s="9">
        <v>45120</v>
      </c>
      <c r="D1091" t="s">
        <v>13</v>
      </c>
      <c r="E1091" t="s">
        <v>8</v>
      </c>
      <c r="F1091">
        <v>349</v>
      </c>
    </row>
    <row r="1092" spans="1:6">
      <c r="A1092" t="s">
        <v>1150</v>
      </c>
      <c r="B1092">
        <v>2023</v>
      </c>
      <c r="C1092" s="9">
        <v>45121</v>
      </c>
      <c r="D1092" t="s">
        <v>18</v>
      </c>
      <c r="E1092" t="s">
        <v>8</v>
      </c>
      <c r="F1092">
        <v>0</v>
      </c>
    </row>
    <row r="1093" spans="1:6">
      <c r="A1093" t="s">
        <v>1151</v>
      </c>
      <c r="B1093">
        <v>2023</v>
      </c>
      <c r="C1093" s="9">
        <v>45122</v>
      </c>
      <c r="D1093" t="s">
        <v>20</v>
      </c>
      <c r="E1093" t="s">
        <v>8</v>
      </c>
      <c r="F1093">
        <v>412</v>
      </c>
    </row>
    <row r="1094" spans="1:6">
      <c r="A1094" t="s">
        <v>1152</v>
      </c>
      <c r="B1094">
        <v>2023</v>
      </c>
      <c r="C1094" s="9">
        <v>45123</v>
      </c>
      <c r="D1094" t="s">
        <v>22</v>
      </c>
      <c r="E1094" t="s">
        <v>8</v>
      </c>
      <c r="F1094">
        <v>0</v>
      </c>
    </row>
    <row r="1095" spans="1:6">
      <c r="A1095" t="s">
        <v>1153</v>
      </c>
      <c r="B1095">
        <v>2023</v>
      </c>
      <c r="C1095" s="9">
        <v>45124</v>
      </c>
      <c r="D1095" t="s">
        <v>24</v>
      </c>
      <c r="E1095" t="s">
        <v>8</v>
      </c>
      <c r="F1095">
        <v>0</v>
      </c>
    </row>
    <row r="1096" spans="1:6">
      <c r="A1096" t="s">
        <v>1154</v>
      </c>
      <c r="B1096">
        <v>2023</v>
      </c>
      <c r="C1096" s="9">
        <v>45125</v>
      </c>
      <c r="D1096" t="s">
        <v>7</v>
      </c>
      <c r="E1096" t="s">
        <v>8</v>
      </c>
      <c r="F1096">
        <v>548</v>
      </c>
    </row>
    <row r="1097" spans="1:6">
      <c r="A1097" t="s">
        <v>1155</v>
      </c>
      <c r="B1097">
        <v>2023</v>
      </c>
      <c r="C1097" s="9">
        <v>45126</v>
      </c>
      <c r="D1097" t="s">
        <v>10</v>
      </c>
      <c r="E1097" t="s">
        <v>8</v>
      </c>
      <c r="F1097">
        <v>785</v>
      </c>
    </row>
    <row r="1098" spans="1:6">
      <c r="A1098" t="s">
        <v>1156</v>
      </c>
      <c r="B1098">
        <v>2023</v>
      </c>
      <c r="C1098" s="9">
        <v>45127</v>
      </c>
      <c r="D1098" t="s">
        <v>13</v>
      </c>
      <c r="E1098" t="s">
        <v>8</v>
      </c>
      <c r="F1098">
        <v>705</v>
      </c>
    </row>
    <row r="1099" spans="1:6">
      <c r="A1099" t="s">
        <v>1157</v>
      </c>
      <c r="B1099">
        <v>2023</v>
      </c>
      <c r="C1099" s="9">
        <v>45128</v>
      </c>
      <c r="D1099" t="s">
        <v>18</v>
      </c>
      <c r="E1099" t="s">
        <v>8</v>
      </c>
      <c r="F1099">
        <v>364</v>
      </c>
    </row>
    <row r="1100" spans="1:6">
      <c r="A1100" t="s">
        <v>1158</v>
      </c>
      <c r="B1100">
        <v>2023</v>
      </c>
      <c r="C1100" s="9">
        <v>45129</v>
      </c>
      <c r="D1100" t="s">
        <v>20</v>
      </c>
      <c r="E1100" t="s">
        <v>8</v>
      </c>
      <c r="F1100">
        <v>334</v>
      </c>
    </row>
    <row r="1101" spans="1:6">
      <c r="A1101" t="s">
        <v>1159</v>
      </c>
      <c r="B1101">
        <v>2023</v>
      </c>
      <c r="C1101" s="9">
        <v>45130</v>
      </c>
      <c r="D1101" t="s">
        <v>22</v>
      </c>
      <c r="E1101" t="s">
        <v>8</v>
      </c>
      <c r="F1101">
        <v>0</v>
      </c>
    </row>
    <row r="1102" spans="1:6">
      <c r="A1102" t="s">
        <v>1160</v>
      </c>
      <c r="B1102">
        <v>2023</v>
      </c>
      <c r="C1102" s="9">
        <v>45131</v>
      </c>
      <c r="D1102" t="s">
        <v>24</v>
      </c>
      <c r="E1102" t="s">
        <v>8</v>
      </c>
      <c r="F1102">
        <v>0</v>
      </c>
    </row>
    <row r="1103" spans="1:6">
      <c r="A1103" t="s">
        <v>1161</v>
      </c>
      <c r="B1103">
        <v>2023</v>
      </c>
      <c r="C1103" s="9">
        <v>45132</v>
      </c>
      <c r="D1103" t="s">
        <v>7</v>
      </c>
      <c r="E1103" t="s">
        <v>8</v>
      </c>
      <c r="F1103">
        <v>326</v>
      </c>
    </row>
    <row r="1104" spans="1:6">
      <c r="A1104" t="s">
        <v>1162</v>
      </c>
      <c r="B1104">
        <v>2023</v>
      </c>
      <c r="C1104" s="9">
        <v>45133</v>
      </c>
      <c r="D1104" t="s">
        <v>10</v>
      </c>
      <c r="E1104" t="s">
        <v>8</v>
      </c>
      <c r="F1104">
        <v>364</v>
      </c>
    </row>
    <row r="1105" spans="1:6">
      <c r="A1105" t="s">
        <v>1163</v>
      </c>
      <c r="B1105">
        <v>2023</v>
      </c>
      <c r="C1105" s="9">
        <v>45134</v>
      </c>
      <c r="D1105" t="s">
        <v>13</v>
      </c>
      <c r="E1105" t="s">
        <v>8</v>
      </c>
      <c r="F1105">
        <v>632</v>
      </c>
    </row>
    <row r="1106" spans="1:6">
      <c r="A1106" t="s">
        <v>1164</v>
      </c>
      <c r="B1106">
        <v>2023</v>
      </c>
      <c r="C1106" s="9">
        <v>45135</v>
      </c>
      <c r="D1106" t="s">
        <v>18</v>
      </c>
      <c r="E1106" t="s">
        <v>8</v>
      </c>
      <c r="F1106">
        <v>625.20000000000005</v>
      </c>
    </row>
    <row r="1107" spans="1:6">
      <c r="A1107" t="s">
        <v>1165</v>
      </c>
      <c r="B1107">
        <v>2023</v>
      </c>
      <c r="C1107" s="9">
        <v>45136</v>
      </c>
      <c r="D1107" t="s">
        <v>20</v>
      </c>
      <c r="E1107" t="s">
        <v>8</v>
      </c>
      <c r="F1107">
        <v>380</v>
      </c>
    </row>
    <row r="1108" spans="1:6">
      <c r="A1108" t="s">
        <v>1166</v>
      </c>
      <c r="B1108">
        <v>2023</v>
      </c>
      <c r="C1108" s="9">
        <v>45137</v>
      </c>
      <c r="D1108" t="s">
        <v>22</v>
      </c>
      <c r="E1108" t="s">
        <v>8</v>
      </c>
      <c r="F1108">
        <v>0</v>
      </c>
    </row>
    <row r="1109" spans="1:6">
      <c r="A1109" t="s">
        <v>1167</v>
      </c>
      <c r="B1109">
        <v>2023</v>
      </c>
      <c r="C1109" s="9">
        <v>45138</v>
      </c>
      <c r="D1109" t="s">
        <v>24</v>
      </c>
      <c r="E1109" t="s">
        <v>8</v>
      </c>
      <c r="F1109">
        <v>0</v>
      </c>
    </row>
    <row r="1110" spans="1:6">
      <c r="A1110" t="s">
        <v>1168</v>
      </c>
      <c r="B1110">
        <v>2023</v>
      </c>
      <c r="C1110" s="9">
        <v>45139</v>
      </c>
      <c r="D1110" t="s">
        <v>7</v>
      </c>
      <c r="E1110" t="s">
        <v>234</v>
      </c>
      <c r="F1110">
        <v>505</v>
      </c>
    </row>
    <row r="1111" spans="1:6">
      <c r="A1111" t="s">
        <v>1169</v>
      </c>
      <c r="B1111">
        <v>2023</v>
      </c>
      <c r="C1111" s="9">
        <v>45140</v>
      </c>
      <c r="D1111" t="s">
        <v>10</v>
      </c>
      <c r="E1111" t="s">
        <v>234</v>
      </c>
      <c r="F1111">
        <v>723</v>
      </c>
    </row>
    <row r="1112" spans="1:6">
      <c r="A1112" t="s">
        <v>1170</v>
      </c>
      <c r="B1112">
        <v>2023</v>
      </c>
      <c r="C1112" s="9">
        <v>45141</v>
      </c>
      <c r="D1112" t="s">
        <v>13</v>
      </c>
      <c r="E1112" t="s">
        <v>234</v>
      </c>
      <c r="F1112">
        <v>359</v>
      </c>
    </row>
    <row r="1113" spans="1:6">
      <c r="A1113" t="s">
        <v>1171</v>
      </c>
      <c r="B1113">
        <v>2023</v>
      </c>
      <c r="C1113" s="9">
        <v>45142</v>
      </c>
      <c r="D1113" t="s">
        <v>18</v>
      </c>
      <c r="E1113" t="s">
        <v>234</v>
      </c>
      <c r="F1113">
        <v>448</v>
      </c>
    </row>
    <row r="1114" spans="1:6">
      <c r="A1114" t="s">
        <v>1172</v>
      </c>
      <c r="B1114">
        <v>2023</v>
      </c>
      <c r="C1114" s="9">
        <v>45143</v>
      </c>
      <c r="D1114" t="s">
        <v>20</v>
      </c>
      <c r="E1114" t="s">
        <v>234</v>
      </c>
      <c r="F1114">
        <v>530</v>
      </c>
    </row>
    <row r="1115" spans="1:6">
      <c r="A1115" t="s">
        <v>1173</v>
      </c>
      <c r="B1115">
        <v>2023</v>
      </c>
      <c r="C1115" s="9">
        <v>45144</v>
      </c>
      <c r="D1115" t="s">
        <v>22</v>
      </c>
      <c r="E1115" t="s">
        <v>234</v>
      </c>
      <c r="F1115">
        <v>0</v>
      </c>
    </row>
    <row r="1116" spans="1:6">
      <c r="A1116" t="s">
        <v>1174</v>
      </c>
      <c r="B1116">
        <v>2023</v>
      </c>
      <c r="C1116" s="9">
        <v>45145</v>
      </c>
      <c r="D1116" t="s">
        <v>24</v>
      </c>
      <c r="E1116" t="s">
        <v>234</v>
      </c>
      <c r="F1116">
        <v>0</v>
      </c>
    </row>
    <row r="1117" spans="1:6">
      <c r="A1117" t="s">
        <v>1175</v>
      </c>
      <c r="B1117">
        <v>2023</v>
      </c>
      <c r="C1117" s="9">
        <v>45146</v>
      </c>
      <c r="D1117" t="s">
        <v>7</v>
      </c>
      <c r="E1117" t="s">
        <v>234</v>
      </c>
      <c r="F1117">
        <v>275</v>
      </c>
    </row>
    <row r="1118" spans="1:6">
      <c r="A1118" t="s">
        <v>1176</v>
      </c>
      <c r="B1118">
        <v>2023</v>
      </c>
      <c r="C1118" s="9">
        <v>45147</v>
      </c>
      <c r="D1118" t="s">
        <v>10</v>
      </c>
      <c r="E1118" t="s">
        <v>234</v>
      </c>
      <c r="F1118">
        <v>378</v>
      </c>
    </row>
    <row r="1119" spans="1:6">
      <c r="A1119" t="s">
        <v>1177</v>
      </c>
      <c r="B1119">
        <v>2023</v>
      </c>
      <c r="C1119" s="9">
        <v>45148</v>
      </c>
      <c r="D1119" t="s">
        <v>13</v>
      </c>
      <c r="E1119" t="s">
        <v>234</v>
      </c>
      <c r="F1119">
        <v>338</v>
      </c>
    </row>
    <row r="1120" spans="1:6">
      <c r="A1120" t="s">
        <v>1178</v>
      </c>
      <c r="B1120">
        <v>2023</v>
      </c>
      <c r="C1120" s="9">
        <v>45149</v>
      </c>
      <c r="D1120" t="s">
        <v>18</v>
      </c>
      <c r="E1120" t="s">
        <v>234</v>
      </c>
      <c r="F1120">
        <v>472</v>
      </c>
    </row>
    <row r="1121" spans="1:6">
      <c r="A1121" t="s">
        <v>1179</v>
      </c>
      <c r="B1121">
        <v>2023</v>
      </c>
      <c r="C1121" s="9">
        <v>45150</v>
      </c>
      <c r="D1121" t="s">
        <v>20</v>
      </c>
      <c r="E1121" t="s">
        <v>234</v>
      </c>
      <c r="F1121">
        <v>279</v>
      </c>
    </row>
    <row r="1122" spans="1:6">
      <c r="A1122" t="s">
        <v>1180</v>
      </c>
      <c r="B1122">
        <v>2023</v>
      </c>
      <c r="C1122" s="9">
        <v>45151</v>
      </c>
      <c r="D1122" t="s">
        <v>22</v>
      </c>
      <c r="E1122" t="s">
        <v>234</v>
      </c>
      <c r="F1122">
        <v>0</v>
      </c>
    </row>
    <row r="1123" spans="1:6">
      <c r="A1123" t="s">
        <v>1181</v>
      </c>
      <c r="B1123">
        <v>2023</v>
      </c>
      <c r="C1123" s="9">
        <v>45152</v>
      </c>
      <c r="D1123" t="s">
        <v>24</v>
      </c>
      <c r="E1123" t="s">
        <v>234</v>
      </c>
      <c r="F1123">
        <v>0</v>
      </c>
    </row>
    <row r="1124" spans="1:6">
      <c r="A1124" t="s">
        <v>1182</v>
      </c>
      <c r="B1124">
        <v>2023</v>
      </c>
      <c r="C1124" s="9">
        <v>45153</v>
      </c>
      <c r="D1124" t="s">
        <v>7</v>
      </c>
      <c r="E1124" t="s">
        <v>234</v>
      </c>
      <c r="F1124">
        <v>0</v>
      </c>
    </row>
    <row r="1125" spans="1:6">
      <c r="A1125" t="s">
        <v>1183</v>
      </c>
      <c r="B1125">
        <v>2023</v>
      </c>
      <c r="C1125" s="9">
        <v>45154</v>
      </c>
      <c r="D1125" t="s">
        <v>10</v>
      </c>
      <c r="E1125" t="s">
        <v>234</v>
      </c>
      <c r="F1125">
        <v>524</v>
      </c>
    </row>
    <row r="1126" spans="1:6">
      <c r="A1126" t="s">
        <v>1184</v>
      </c>
      <c r="B1126">
        <v>2023</v>
      </c>
      <c r="C1126" s="9">
        <v>45155</v>
      </c>
      <c r="D1126" t="s">
        <v>13</v>
      </c>
      <c r="E1126" t="s">
        <v>234</v>
      </c>
      <c r="F1126">
        <v>489</v>
      </c>
    </row>
    <row r="1127" spans="1:6">
      <c r="A1127" t="s">
        <v>1185</v>
      </c>
      <c r="B1127">
        <v>2023</v>
      </c>
      <c r="C1127" s="9">
        <v>45156</v>
      </c>
      <c r="D1127" t="s">
        <v>18</v>
      </c>
      <c r="E1127" t="s">
        <v>234</v>
      </c>
      <c r="F1127">
        <v>583</v>
      </c>
    </row>
    <row r="1128" spans="1:6">
      <c r="A1128" t="s">
        <v>1186</v>
      </c>
      <c r="B1128">
        <v>2023</v>
      </c>
      <c r="C1128" s="9">
        <v>45157</v>
      </c>
      <c r="D1128" t="s">
        <v>20</v>
      </c>
      <c r="E1128" t="s">
        <v>234</v>
      </c>
      <c r="F1128">
        <v>376</v>
      </c>
    </row>
    <row r="1129" spans="1:6">
      <c r="A1129" t="s">
        <v>1187</v>
      </c>
      <c r="B1129">
        <v>2023</v>
      </c>
      <c r="C1129" s="9">
        <v>45158</v>
      </c>
      <c r="D1129" t="s">
        <v>22</v>
      </c>
      <c r="E1129" t="s">
        <v>234</v>
      </c>
      <c r="F1129">
        <v>0</v>
      </c>
    </row>
    <row r="1130" spans="1:6">
      <c r="A1130" t="s">
        <v>1188</v>
      </c>
      <c r="B1130">
        <v>2023</v>
      </c>
      <c r="C1130" s="9">
        <v>45159</v>
      </c>
      <c r="D1130" t="s">
        <v>24</v>
      </c>
      <c r="E1130" t="s">
        <v>234</v>
      </c>
      <c r="F1130">
        <v>0</v>
      </c>
    </row>
    <row r="1131" spans="1:6">
      <c r="A1131" t="s">
        <v>1189</v>
      </c>
      <c r="B1131">
        <v>2023</v>
      </c>
      <c r="C1131" s="9">
        <v>45160</v>
      </c>
      <c r="D1131" t="s">
        <v>7</v>
      </c>
      <c r="E1131" t="s">
        <v>234</v>
      </c>
      <c r="F1131">
        <v>678</v>
      </c>
    </row>
    <row r="1132" spans="1:6">
      <c r="A1132" t="s">
        <v>1190</v>
      </c>
      <c r="B1132">
        <v>2023</v>
      </c>
      <c r="C1132" s="9">
        <v>45161</v>
      </c>
      <c r="D1132" t="s">
        <v>10</v>
      </c>
      <c r="E1132" t="s">
        <v>234</v>
      </c>
      <c r="F1132">
        <v>440</v>
      </c>
    </row>
    <row r="1133" spans="1:6">
      <c r="A1133" t="s">
        <v>1191</v>
      </c>
      <c r="B1133">
        <v>2023</v>
      </c>
      <c r="C1133" s="9">
        <v>45162</v>
      </c>
      <c r="D1133" t="s">
        <v>13</v>
      </c>
      <c r="E1133" t="s">
        <v>234</v>
      </c>
      <c r="F1133">
        <v>324</v>
      </c>
    </row>
    <row r="1134" spans="1:6">
      <c r="A1134" t="s">
        <v>1192</v>
      </c>
      <c r="B1134">
        <v>2023</v>
      </c>
      <c r="C1134" s="9">
        <v>45163</v>
      </c>
      <c r="D1134" t="s">
        <v>18</v>
      </c>
      <c r="E1134" t="s">
        <v>234</v>
      </c>
      <c r="F1134">
        <v>545</v>
      </c>
    </row>
    <row r="1135" spans="1:6">
      <c r="A1135" t="s">
        <v>1193</v>
      </c>
      <c r="B1135">
        <v>2023</v>
      </c>
      <c r="C1135" s="9">
        <v>45164</v>
      </c>
      <c r="D1135" t="s">
        <v>20</v>
      </c>
      <c r="E1135" t="s">
        <v>234</v>
      </c>
      <c r="F1135">
        <v>481</v>
      </c>
    </row>
    <row r="1136" spans="1:6">
      <c r="A1136" t="s">
        <v>1194</v>
      </c>
      <c r="B1136">
        <v>2023</v>
      </c>
      <c r="C1136" s="9">
        <v>45165</v>
      </c>
      <c r="D1136" t="s">
        <v>22</v>
      </c>
      <c r="E1136" t="s">
        <v>234</v>
      </c>
      <c r="F1136">
        <v>0</v>
      </c>
    </row>
    <row r="1137" spans="1:6">
      <c r="A1137" t="s">
        <v>1195</v>
      </c>
      <c r="B1137">
        <v>2023</v>
      </c>
      <c r="C1137" s="9">
        <v>45166</v>
      </c>
      <c r="D1137" t="s">
        <v>24</v>
      </c>
      <c r="E1137" t="s">
        <v>234</v>
      </c>
      <c r="F1137">
        <v>0</v>
      </c>
    </row>
    <row r="1138" spans="1:6">
      <c r="A1138" t="s">
        <v>1196</v>
      </c>
      <c r="B1138">
        <v>2023</v>
      </c>
      <c r="C1138" s="9">
        <v>45167</v>
      </c>
      <c r="D1138" t="s">
        <v>7</v>
      </c>
      <c r="E1138" t="s">
        <v>234</v>
      </c>
      <c r="F1138">
        <v>544</v>
      </c>
    </row>
    <row r="1139" spans="1:6">
      <c r="A1139" t="s">
        <v>1197</v>
      </c>
      <c r="B1139">
        <v>2023</v>
      </c>
      <c r="C1139" s="9">
        <v>45168</v>
      </c>
      <c r="D1139" t="s">
        <v>10</v>
      </c>
      <c r="E1139" t="s">
        <v>234</v>
      </c>
      <c r="F1139">
        <v>755</v>
      </c>
    </row>
    <row r="1140" spans="1:6">
      <c r="A1140" t="s">
        <v>1198</v>
      </c>
      <c r="B1140">
        <v>2023</v>
      </c>
      <c r="C1140" s="9">
        <v>45169</v>
      </c>
      <c r="D1140" t="s">
        <v>13</v>
      </c>
      <c r="E1140" t="s">
        <v>234</v>
      </c>
      <c r="F1140">
        <v>729</v>
      </c>
    </row>
    <row r="1141" spans="1:6">
      <c r="A1141" t="s">
        <v>1199</v>
      </c>
      <c r="B1141">
        <v>2023</v>
      </c>
      <c r="C1141" s="9">
        <v>45170</v>
      </c>
      <c r="D1141" t="s">
        <v>18</v>
      </c>
      <c r="E1141" t="s">
        <v>265</v>
      </c>
      <c r="F1141">
        <v>639</v>
      </c>
    </row>
    <row r="1142" spans="1:6">
      <c r="A1142" t="s">
        <v>1200</v>
      </c>
      <c r="B1142">
        <v>2023</v>
      </c>
      <c r="C1142" s="9">
        <v>45171</v>
      </c>
      <c r="D1142" t="s">
        <v>20</v>
      </c>
      <c r="E1142" t="s">
        <v>265</v>
      </c>
      <c r="F1142">
        <v>511</v>
      </c>
    </row>
    <row r="1143" spans="1:6">
      <c r="A1143" t="s">
        <v>1201</v>
      </c>
      <c r="B1143">
        <v>2023</v>
      </c>
      <c r="C1143" s="9">
        <v>45172</v>
      </c>
      <c r="D1143" t="s">
        <v>22</v>
      </c>
      <c r="E1143" t="s">
        <v>265</v>
      </c>
      <c r="F1143">
        <v>0</v>
      </c>
    </row>
    <row r="1144" spans="1:6">
      <c r="A1144" t="s">
        <v>1202</v>
      </c>
      <c r="B1144">
        <v>2023</v>
      </c>
      <c r="C1144" s="9">
        <v>45173</v>
      </c>
      <c r="D1144" t="s">
        <v>24</v>
      </c>
      <c r="E1144" t="s">
        <v>265</v>
      </c>
      <c r="F1144">
        <v>0</v>
      </c>
    </row>
    <row r="1145" spans="1:6">
      <c r="A1145" t="s">
        <v>1203</v>
      </c>
      <c r="B1145">
        <v>2023</v>
      </c>
      <c r="C1145" s="9">
        <v>45174</v>
      </c>
      <c r="D1145" t="s">
        <v>7</v>
      </c>
      <c r="E1145" t="s">
        <v>265</v>
      </c>
      <c r="F1145">
        <v>711</v>
      </c>
    </row>
    <row r="1146" spans="1:6">
      <c r="A1146" t="s">
        <v>1204</v>
      </c>
      <c r="B1146">
        <v>2023</v>
      </c>
      <c r="C1146" s="9">
        <v>45175</v>
      </c>
      <c r="D1146" t="s">
        <v>10</v>
      </c>
      <c r="E1146" t="s">
        <v>265</v>
      </c>
      <c r="F1146">
        <v>580.6</v>
      </c>
    </row>
    <row r="1147" spans="1:6">
      <c r="A1147" t="s">
        <v>1205</v>
      </c>
      <c r="B1147">
        <v>2023</v>
      </c>
      <c r="C1147" s="9">
        <v>45176</v>
      </c>
      <c r="D1147" t="s">
        <v>13</v>
      </c>
      <c r="E1147" t="s">
        <v>265</v>
      </c>
      <c r="F1147">
        <v>431</v>
      </c>
    </row>
    <row r="1148" spans="1:6">
      <c r="A1148" t="s">
        <v>1206</v>
      </c>
      <c r="B1148">
        <v>2023</v>
      </c>
      <c r="C1148" s="9">
        <v>45177</v>
      </c>
      <c r="D1148" t="s">
        <v>18</v>
      </c>
      <c r="E1148" t="s">
        <v>265</v>
      </c>
      <c r="F1148">
        <v>614</v>
      </c>
    </row>
    <row r="1149" spans="1:6">
      <c r="A1149" t="s">
        <v>1207</v>
      </c>
      <c r="B1149">
        <v>2023</v>
      </c>
      <c r="C1149" s="9">
        <v>45178</v>
      </c>
      <c r="D1149" t="s">
        <v>20</v>
      </c>
      <c r="E1149" t="s">
        <v>265</v>
      </c>
      <c r="F1149">
        <v>252</v>
      </c>
    </row>
    <row r="1150" spans="1:6">
      <c r="A1150" t="s">
        <v>1208</v>
      </c>
      <c r="B1150">
        <v>2023</v>
      </c>
      <c r="C1150" s="9">
        <v>45179</v>
      </c>
      <c r="D1150" t="s">
        <v>22</v>
      </c>
      <c r="E1150" t="s">
        <v>265</v>
      </c>
      <c r="F1150">
        <v>0</v>
      </c>
    </row>
    <row r="1151" spans="1:6">
      <c r="A1151" t="s">
        <v>1209</v>
      </c>
      <c r="B1151">
        <v>2023</v>
      </c>
      <c r="C1151" s="9">
        <v>45180</v>
      </c>
      <c r="D1151" t="s">
        <v>24</v>
      </c>
      <c r="E1151" t="s">
        <v>265</v>
      </c>
      <c r="F1151">
        <v>0</v>
      </c>
    </row>
    <row r="1152" spans="1:6">
      <c r="A1152" t="s">
        <v>1210</v>
      </c>
      <c r="B1152">
        <v>2023</v>
      </c>
      <c r="C1152" s="9">
        <v>45181</v>
      </c>
      <c r="D1152" t="s">
        <v>7</v>
      </c>
      <c r="E1152" t="s">
        <v>265</v>
      </c>
      <c r="F1152">
        <v>573</v>
      </c>
    </row>
    <row r="1153" spans="1:6">
      <c r="A1153" t="s">
        <v>1211</v>
      </c>
      <c r="B1153">
        <v>2023</v>
      </c>
      <c r="C1153" s="9">
        <v>45182</v>
      </c>
      <c r="D1153" t="s">
        <v>10</v>
      </c>
      <c r="E1153" t="s">
        <v>265</v>
      </c>
      <c r="F1153">
        <v>679.6</v>
      </c>
    </row>
    <row r="1154" spans="1:6">
      <c r="A1154" t="s">
        <v>1212</v>
      </c>
      <c r="B1154">
        <v>2023</v>
      </c>
      <c r="C1154" s="9">
        <v>45183</v>
      </c>
      <c r="D1154" t="s">
        <v>13</v>
      </c>
      <c r="E1154" t="s">
        <v>265</v>
      </c>
      <c r="F1154">
        <v>636</v>
      </c>
    </row>
    <row r="1155" spans="1:6">
      <c r="A1155" t="s">
        <v>1213</v>
      </c>
      <c r="B1155">
        <v>2023</v>
      </c>
      <c r="C1155" s="9">
        <v>45184</v>
      </c>
      <c r="D1155" t="s">
        <v>18</v>
      </c>
      <c r="E1155" t="s">
        <v>265</v>
      </c>
      <c r="F1155">
        <v>525</v>
      </c>
    </row>
    <row r="1156" spans="1:6">
      <c r="A1156" t="s">
        <v>1214</v>
      </c>
      <c r="B1156">
        <v>2023</v>
      </c>
      <c r="C1156" s="9">
        <v>45185</v>
      </c>
      <c r="D1156" t="s">
        <v>20</v>
      </c>
      <c r="E1156" t="s">
        <v>265</v>
      </c>
      <c r="F1156">
        <v>341</v>
      </c>
    </row>
    <row r="1157" spans="1:6">
      <c r="A1157" t="s">
        <v>1215</v>
      </c>
      <c r="B1157">
        <v>2023</v>
      </c>
      <c r="C1157" s="9">
        <v>45186</v>
      </c>
      <c r="D1157" t="s">
        <v>22</v>
      </c>
      <c r="E1157" t="s">
        <v>265</v>
      </c>
      <c r="F1157">
        <v>0</v>
      </c>
    </row>
    <row r="1158" spans="1:6">
      <c r="A1158" t="s">
        <v>1216</v>
      </c>
      <c r="B1158">
        <v>2023</v>
      </c>
      <c r="C1158" s="9">
        <v>45187</v>
      </c>
      <c r="D1158" t="s">
        <v>24</v>
      </c>
      <c r="E1158" t="s">
        <v>265</v>
      </c>
      <c r="F1158">
        <v>0</v>
      </c>
    </row>
    <row r="1159" spans="1:6">
      <c r="A1159" t="s">
        <v>1217</v>
      </c>
      <c r="B1159">
        <v>2023</v>
      </c>
      <c r="C1159" s="9">
        <v>45188</v>
      </c>
      <c r="D1159" t="s">
        <v>7</v>
      </c>
      <c r="E1159" t="s">
        <v>265</v>
      </c>
      <c r="F1159">
        <v>530</v>
      </c>
    </row>
    <row r="1160" spans="1:6">
      <c r="A1160" t="s">
        <v>1218</v>
      </c>
      <c r="B1160">
        <v>2023</v>
      </c>
      <c r="C1160" s="9">
        <v>45189</v>
      </c>
      <c r="D1160" t="s">
        <v>10</v>
      </c>
      <c r="E1160" t="s">
        <v>265</v>
      </c>
      <c r="F1160">
        <v>450</v>
      </c>
    </row>
    <row r="1161" spans="1:6">
      <c r="A1161" t="s">
        <v>1219</v>
      </c>
      <c r="B1161">
        <v>2023</v>
      </c>
      <c r="C1161" s="9">
        <v>45190</v>
      </c>
      <c r="D1161" t="s">
        <v>13</v>
      </c>
      <c r="E1161" t="s">
        <v>265</v>
      </c>
      <c r="F1161">
        <v>594</v>
      </c>
    </row>
    <row r="1162" spans="1:6">
      <c r="A1162" t="s">
        <v>1220</v>
      </c>
      <c r="B1162">
        <v>2023</v>
      </c>
      <c r="C1162" s="9">
        <v>45191</v>
      </c>
      <c r="D1162" t="s">
        <v>18</v>
      </c>
      <c r="E1162" t="s">
        <v>265</v>
      </c>
      <c r="F1162">
        <v>493</v>
      </c>
    </row>
    <row r="1163" spans="1:6">
      <c r="A1163" t="s">
        <v>1221</v>
      </c>
      <c r="B1163">
        <v>2023</v>
      </c>
      <c r="C1163" s="9">
        <v>45192</v>
      </c>
      <c r="D1163" t="s">
        <v>20</v>
      </c>
      <c r="E1163" t="s">
        <v>265</v>
      </c>
      <c r="F1163">
        <v>304</v>
      </c>
    </row>
    <row r="1164" spans="1:6">
      <c r="A1164" t="s">
        <v>1222</v>
      </c>
      <c r="B1164">
        <v>2023</v>
      </c>
      <c r="C1164" s="9">
        <v>45193</v>
      </c>
      <c r="D1164" t="s">
        <v>22</v>
      </c>
      <c r="E1164" t="s">
        <v>265</v>
      </c>
      <c r="F1164">
        <v>0</v>
      </c>
    </row>
    <row r="1165" spans="1:6">
      <c r="A1165" t="s">
        <v>1223</v>
      </c>
      <c r="B1165">
        <v>2023</v>
      </c>
      <c r="C1165" s="9">
        <v>45194</v>
      </c>
      <c r="D1165" t="s">
        <v>24</v>
      </c>
      <c r="E1165" t="s">
        <v>265</v>
      </c>
      <c r="F1165">
        <v>0</v>
      </c>
    </row>
    <row r="1166" spans="1:6">
      <c r="A1166" t="s">
        <v>1224</v>
      </c>
      <c r="B1166">
        <v>2023</v>
      </c>
      <c r="C1166" s="9">
        <v>45195</v>
      </c>
      <c r="D1166" t="s">
        <v>7</v>
      </c>
      <c r="E1166" t="s">
        <v>265</v>
      </c>
      <c r="F1166">
        <v>401</v>
      </c>
    </row>
    <row r="1167" spans="1:6">
      <c r="A1167" t="s">
        <v>1225</v>
      </c>
      <c r="B1167">
        <v>2023</v>
      </c>
      <c r="C1167" s="9">
        <v>45196</v>
      </c>
      <c r="D1167" t="s">
        <v>10</v>
      </c>
      <c r="E1167" t="s">
        <v>265</v>
      </c>
      <c r="F1167">
        <v>624</v>
      </c>
    </row>
    <row r="1168" spans="1:6">
      <c r="A1168" t="s">
        <v>1226</v>
      </c>
      <c r="B1168">
        <v>2023</v>
      </c>
      <c r="C1168" s="9">
        <v>45197</v>
      </c>
      <c r="D1168" t="s">
        <v>13</v>
      </c>
      <c r="E1168" t="s">
        <v>265</v>
      </c>
      <c r="F1168">
        <v>358.6</v>
      </c>
    </row>
    <row r="1169" spans="1:6">
      <c r="A1169" t="s">
        <v>1227</v>
      </c>
      <c r="B1169">
        <v>2023</v>
      </c>
      <c r="C1169" s="9">
        <v>45198</v>
      </c>
      <c r="D1169" t="s">
        <v>18</v>
      </c>
      <c r="E1169" t="s">
        <v>265</v>
      </c>
      <c r="F1169">
        <v>230</v>
      </c>
    </row>
    <row r="1170" spans="1:6">
      <c r="A1170" t="s">
        <v>1228</v>
      </c>
      <c r="B1170">
        <v>2023</v>
      </c>
      <c r="C1170" s="9">
        <v>45199</v>
      </c>
      <c r="D1170" t="s">
        <v>20</v>
      </c>
      <c r="E1170" t="s">
        <v>265</v>
      </c>
      <c r="F1170">
        <v>130</v>
      </c>
    </row>
    <row r="1171" spans="1:6">
      <c r="A1171" t="s">
        <v>1229</v>
      </c>
      <c r="B1171">
        <v>2023</v>
      </c>
      <c r="C1171" s="9">
        <v>45202</v>
      </c>
      <c r="D1171" t="s">
        <v>7</v>
      </c>
      <c r="E1171" t="s">
        <v>296</v>
      </c>
      <c r="F1171">
        <v>1052</v>
      </c>
    </row>
    <row r="1172" spans="1:6">
      <c r="A1172" t="s">
        <v>1230</v>
      </c>
      <c r="B1172">
        <v>2023</v>
      </c>
      <c r="C1172" s="9">
        <v>45203</v>
      </c>
      <c r="D1172" t="s">
        <v>10</v>
      </c>
      <c r="E1172" t="s">
        <v>296</v>
      </c>
      <c r="F1172">
        <v>419</v>
      </c>
    </row>
    <row r="1173" spans="1:6">
      <c r="A1173" t="s">
        <v>1231</v>
      </c>
      <c r="B1173">
        <v>2023</v>
      </c>
      <c r="C1173" s="9">
        <v>45204</v>
      </c>
      <c r="D1173" t="s">
        <v>13</v>
      </c>
      <c r="E1173" t="s">
        <v>296</v>
      </c>
      <c r="F1173">
        <v>379</v>
      </c>
    </row>
    <row r="1174" spans="1:6">
      <c r="A1174" t="s">
        <v>1232</v>
      </c>
      <c r="B1174">
        <v>2023</v>
      </c>
      <c r="C1174" s="9">
        <v>45205</v>
      </c>
      <c r="D1174" t="s">
        <v>18</v>
      </c>
      <c r="E1174" t="s">
        <v>296</v>
      </c>
      <c r="F1174">
        <v>494</v>
      </c>
    </row>
    <row r="1175" spans="1:6">
      <c r="A1175" t="s">
        <v>1233</v>
      </c>
      <c r="B1175">
        <v>2023</v>
      </c>
      <c r="C1175" s="9">
        <v>45206</v>
      </c>
      <c r="D1175" t="s">
        <v>20</v>
      </c>
      <c r="E1175" t="s">
        <v>296</v>
      </c>
      <c r="F1175">
        <v>518</v>
      </c>
    </row>
    <row r="1176" spans="1:6">
      <c r="A1176" t="s">
        <v>1234</v>
      </c>
      <c r="B1176">
        <v>2023</v>
      </c>
      <c r="C1176" s="9">
        <v>45207</v>
      </c>
      <c r="D1176" t="s">
        <v>22</v>
      </c>
      <c r="E1176" t="s">
        <v>296</v>
      </c>
      <c r="F1176">
        <v>0</v>
      </c>
    </row>
    <row r="1177" spans="1:6">
      <c r="A1177" t="s">
        <v>1235</v>
      </c>
      <c r="B1177">
        <v>2023</v>
      </c>
      <c r="C1177" s="9">
        <v>45208</v>
      </c>
      <c r="D1177" t="s">
        <v>24</v>
      </c>
      <c r="E1177" t="s">
        <v>296</v>
      </c>
      <c r="F1177">
        <v>0</v>
      </c>
    </row>
    <row r="1178" spans="1:6">
      <c r="A1178" t="s">
        <v>1236</v>
      </c>
      <c r="B1178">
        <v>2023</v>
      </c>
      <c r="C1178" s="9">
        <v>45209</v>
      </c>
      <c r="D1178" t="s">
        <v>7</v>
      </c>
      <c r="E1178" t="s">
        <v>296</v>
      </c>
      <c r="F1178">
        <v>403</v>
      </c>
    </row>
    <row r="1179" spans="1:6">
      <c r="A1179" t="s">
        <v>1237</v>
      </c>
      <c r="B1179">
        <v>2023</v>
      </c>
      <c r="C1179" s="9">
        <v>45210</v>
      </c>
      <c r="D1179" t="s">
        <v>10</v>
      </c>
      <c r="E1179" t="s">
        <v>296</v>
      </c>
      <c r="F1179">
        <v>502</v>
      </c>
    </row>
    <row r="1180" spans="1:6">
      <c r="A1180" t="s">
        <v>1238</v>
      </c>
      <c r="B1180">
        <v>2023</v>
      </c>
      <c r="C1180" s="9">
        <v>45211</v>
      </c>
      <c r="D1180" t="s">
        <v>13</v>
      </c>
      <c r="E1180" t="s">
        <v>296</v>
      </c>
      <c r="F1180">
        <v>556</v>
      </c>
    </row>
    <row r="1181" spans="1:6">
      <c r="A1181" t="s">
        <v>1239</v>
      </c>
      <c r="B1181">
        <v>2023</v>
      </c>
      <c r="C1181" s="9">
        <v>45212</v>
      </c>
      <c r="D1181" t="s">
        <v>18</v>
      </c>
      <c r="E1181" t="s">
        <v>296</v>
      </c>
      <c r="F1181">
        <v>504.4</v>
      </c>
    </row>
    <row r="1182" spans="1:6">
      <c r="A1182" t="s">
        <v>1240</v>
      </c>
      <c r="B1182">
        <v>2023</v>
      </c>
      <c r="C1182" s="9">
        <v>45213</v>
      </c>
      <c r="D1182" t="s">
        <v>20</v>
      </c>
      <c r="E1182" t="s">
        <v>296</v>
      </c>
      <c r="F1182">
        <v>375</v>
      </c>
    </row>
    <row r="1183" spans="1:6">
      <c r="A1183" t="s">
        <v>1241</v>
      </c>
      <c r="B1183">
        <v>2023</v>
      </c>
      <c r="C1183" s="9">
        <v>45214</v>
      </c>
      <c r="D1183" t="s">
        <v>22</v>
      </c>
      <c r="E1183" t="s">
        <v>296</v>
      </c>
      <c r="F1183">
        <v>0</v>
      </c>
    </row>
    <row r="1184" spans="1:6">
      <c r="A1184" t="s">
        <v>1242</v>
      </c>
      <c r="B1184">
        <v>2023</v>
      </c>
      <c r="C1184" s="9">
        <v>45215</v>
      </c>
      <c r="D1184" t="s">
        <v>24</v>
      </c>
      <c r="E1184" t="s">
        <v>296</v>
      </c>
      <c r="F1184">
        <v>0</v>
      </c>
    </row>
    <row r="1185" spans="1:6">
      <c r="A1185" t="s">
        <v>1243</v>
      </c>
      <c r="B1185">
        <v>2023</v>
      </c>
      <c r="C1185" s="9">
        <v>45216</v>
      </c>
      <c r="D1185" t="s">
        <v>7</v>
      </c>
      <c r="E1185" t="s">
        <v>296</v>
      </c>
      <c r="F1185">
        <v>480</v>
      </c>
    </row>
    <row r="1186" spans="1:6">
      <c r="A1186" t="s">
        <v>1244</v>
      </c>
      <c r="B1186">
        <v>2023</v>
      </c>
      <c r="C1186" s="9">
        <v>45217</v>
      </c>
      <c r="D1186" t="s">
        <v>10</v>
      </c>
      <c r="E1186" t="s">
        <v>296</v>
      </c>
      <c r="F1186">
        <v>327</v>
      </c>
    </row>
    <row r="1187" spans="1:6">
      <c r="A1187" t="s">
        <v>1245</v>
      </c>
      <c r="B1187">
        <v>2023</v>
      </c>
      <c r="C1187" s="9">
        <v>45218</v>
      </c>
      <c r="D1187" t="s">
        <v>13</v>
      </c>
      <c r="E1187" t="s">
        <v>296</v>
      </c>
      <c r="F1187">
        <v>504</v>
      </c>
    </row>
    <row r="1188" spans="1:6">
      <c r="A1188" t="s">
        <v>1246</v>
      </c>
      <c r="B1188">
        <v>2023</v>
      </c>
      <c r="C1188" s="9">
        <v>45219</v>
      </c>
      <c r="D1188" t="s">
        <v>18</v>
      </c>
      <c r="E1188" t="s">
        <v>296</v>
      </c>
      <c r="F1188">
        <v>520</v>
      </c>
    </row>
    <row r="1189" spans="1:6">
      <c r="A1189" t="s">
        <v>1247</v>
      </c>
      <c r="B1189">
        <v>2023</v>
      </c>
      <c r="C1189" s="9">
        <v>45220</v>
      </c>
      <c r="D1189" t="s">
        <v>20</v>
      </c>
      <c r="E1189" t="s">
        <v>296</v>
      </c>
      <c r="F1189">
        <v>172</v>
      </c>
    </row>
    <row r="1190" spans="1:6">
      <c r="A1190" t="s">
        <v>1248</v>
      </c>
      <c r="B1190">
        <v>2023</v>
      </c>
      <c r="C1190" s="9">
        <v>45221</v>
      </c>
      <c r="D1190" t="s">
        <v>22</v>
      </c>
      <c r="E1190" t="s">
        <v>296</v>
      </c>
      <c r="F1190">
        <v>0</v>
      </c>
    </row>
    <row r="1191" spans="1:6">
      <c r="A1191" t="s">
        <v>1249</v>
      </c>
      <c r="B1191">
        <v>2023</v>
      </c>
      <c r="C1191" s="9">
        <v>45222</v>
      </c>
      <c r="D1191" t="s">
        <v>24</v>
      </c>
      <c r="E1191" t="s">
        <v>296</v>
      </c>
      <c r="F1191">
        <v>0</v>
      </c>
    </row>
    <row r="1192" spans="1:6">
      <c r="A1192" t="s">
        <v>1250</v>
      </c>
      <c r="B1192">
        <v>2023</v>
      </c>
      <c r="C1192" s="9">
        <v>45223</v>
      </c>
      <c r="D1192" t="s">
        <v>7</v>
      </c>
      <c r="E1192" t="s">
        <v>296</v>
      </c>
      <c r="F1192">
        <v>396</v>
      </c>
    </row>
    <row r="1193" spans="1:6">
      <c r="A1193" t="s">
        <v>1251</v>
      </c>
      <c r="B1193">
        <v>2023</v>
      </c>
      <c r="C1193" s="9">
        <v>45224</v>
      </c>
      <c r="D1193" t="s">
        <v>10</v>
      </c>
      <c r="E1193" t="s">
        <v>296</v>
      </c>
      <c r="F1193">
        <v>448</v>
      </c>
    </row>
    <row r="1194" spans="1:6">
      <c r="A1194" t="s">
        <v>1252</v>
      </c>
      <c r="B1194">
        <v>2023</v>
      </c>
      <c r="C1194" s="9">
        <v>45225</v>
      </c>
      <c r="D1194" t="s">
        <v>13</v>
      </c>
      <c r="E1194" t="s">
        <v>296</v>
      </c>
      <c r="F1194">
        <v>381</v>
      </c>
    </row>
    <row r="1195" spans="1:6">
      <c r="A1195" t="s">
        <v>1253</v>
      </c>
      <c r="B1195">
        <v>2023</v>
      </c>
      <c r="C1195" s="9">
        <v>45226</v>
      </c>
      <c r="D1195" t="s">
        <v>18</v>
      </c>
      <c r="E1195" t="s">
        <v>296</v>
      </c>
      <c r="F1195">
        <v>390</v>
      </c>
    </row>
    <row r="1196" spans="1:6">
      <c r="A1196" t="s">
        <v>1254</v>
      </c>
      <c r="B1196">
        <v>2023</v>
      </c>
      <c r="C1196" s="9">
        <v>45227</v>
      </c>
      <c r="D1196" t="s">
        <v>20</v>
      </c>
      <c r="E1196" t="s">
        <v>296</v>
      </c>
      <c r="F1196">
        <v>435</v>
      </c>
    </row>
    <row r="1197" spans="1:6">
      <c r="A1197" t="s">
        <v>1255</v>
      </c>
      <c r="B1197">
        <v>2023</v>
      </c>
      <c r="C1197" s="9">
        <v>45228</v>
      </c>
      <c r="D1197" t="s">
        <v>22</v>
      </c>
      <c r="E1197" t="s">
        <v>296</v>
      </c>
      <c r="F1197">
        <v>0</v>
      </c>
    </row>
    <row r="1198" spans="1:6">
      <c r="A1198" t="s">
        <v>1256</v>
      </c>
      <c r="B1198">
        <v>2023</v>
      </c>
      <c r="C1198" s="9">
        <v>45229</v>
      </c>
      <c r="D1198" t="s">
        <v>24</v>
      </c>
      <c r="E1198" t="s">
        <v>296</v>
      </c>
      <c r="F1198">
        <v>0</v>
      </c>
    </row>
    <row r="1199" spans="1:6">
      <c r="A1199" t="s">
        <v>1257</v>
      </c>
      <c r="B1199">
        <v>2023</v>
      </c>
      <c r="C1199" s="9">
        <v>45230</v>
      </c>
      <c r="D1199" t="s">
        <v>7</v>
      </c>
      <c r="E1199" t="s">
        <v>296</v>
      </c>
      <c r="F1199">
        <v>494</v>
      </c>
    </row>
    <row r="1200" spans="1:6">
      <c r="A1200" t="s">
        <v>1258</v>
      </c>
      <c r="B1200">
        <v>2023</v>
      </c>
      <c r="C1200" s="9">
        <v>45231</v>
      </c>
      <c r="D1200" t="s">
        <v>10</v>
      </c>
      <c r="E1200" t="s">
        <v>328</v>
      </c>
      <c r="F1200">
        <v>0</v>
      </c>
    </row>
    <row r="1201" spans="1:6">
      <c r="A1201" t="s">
        <v>1259</v>
      </c>
      <c r="B1201">
        <v>2023</v>
      </c>
      <c r="C1201" s="9">
        <v>45232</v>
      </c>
      <c r="D1201" t="s">
        <v>13</v>
      </c>
      <c r="E1201" t="s">
        <v>328</v>
      </c>
      <c r="F1201">
        <v>450</v>
      </c>
    </row>
    <row r="1202" spans="1:6">
      <c r="A1202" t="s">
        <v>1260</v>
      </c>
      <c r="B1202">
        <v>2023</v>
      </c>
      <c r="C1202" s="9">
        <v>45233</v>
      </c>
      <c r="D1202" t="s">
        <v>18</v>
      </c>
      <c r="E1202" t="s">
        <v>328</v>
      </c>
      <c r="F1202">
        <v>691</v>
      </c>
    </row>
    <row r="1203" spans="1:6">
      <c r="A1203" t="s">
        <v>1261</v>
      </c>
      <c r="B1203">
        <v>2023</v>
      </c>
      <c r="C1203" s="9">
        <v>45234</v>
      </c>
      <c r="D1203" t="s">
        <v>20</v>
      </c>
      <c r="E1203" t="s">
        <v>328</v>
      </c>
      <c r="F1203">
        <v>612</v>
      </c>
    </row>
    <row r="1204" spans="1:6">
      <c r="A1204" t="s">
        <v>1262</v>
      </c>
      <c r="B1204">
        <v>2023</v>
      </c>
      <c r="C1204" s="9">
        <v>45235</v>
      </c>
      <c r="D1204" t="s">
        <v>22</v>
      </c>
      <c r="E1204" t="s">
        <v>328</v>
      </c>
      <c r="F1204">
        <v>0</v>
      </c>
    </row>
    <row r="1205" spans="1:6">
      <c r="A1205" t="s">
        <v>1263</v>
      </c>
      <c r="B1205">
        <v>2023</v>
      </c>
      <c r="C1205" s="9">
        <v>45236</v>
      </c>
      <c r="D1205" t="s">
        <v>24</v>
      </c>
      <c r="E1205" t="s">
        <v>328</v>
      </c>
      <c r="F1205">
        <v>0</v>
      </c>
    </row>
    <row r="1206" spans="1:6">
      <c r="A1206" t="s">
        <v>1264</v>
      </c>
      <c r="B1206">
        <v>2023</v>
      </c>
      <c r="C1206" s="9">
        <v>45237</v>
      </c>
      <c r="D1206" t="s">
        <v>7</v>
      </c>
      <c r="E1206" t="s">
        <v>328</v>
      </c>
      <c r="F1206">
        <v>530</v>
      </c>
    </row>
    <row r="1207" spans="1:6">
      <c r="A1207" t="s">
        <v>1265</v>
      </c>
      <c r="B1207">
        <v>2023</v>
      </c>
      <c r="C1207" s="9">
        <v>45238</v>
      </c>
      <c r="D1207" t="s">
        <v>10</v>
      </c>
      <c r="E1207" t="s">
        <v>328</v>
      </c>
      <c r="F1207">
        <v>392</v>
      </c>
    </row>
    <row r="1208" spans="1:6">
      <c r="A1208" t="s">
        <v>1266</v>
      </c>
      <c r="B1208">
        <v>2023</v>
      </c>
      <c r="C1208" s="9">
        <v>45239</v>
      </c>
      <c r="D1208" t="s">
        <v>13</v>
      </c>
      <c r="E1208" t="s">
        <v>328</v>
      </c>
      <c r="F1208">
        <v>908</v>
      </c>
    </row>
    <row r="1209" spans="1:6">
      <c r="A1209" t="s">
        <v>1267</v>
      </c>
      <c r="B1209">
        <v>2023</v>
      </c>
      <c r="C1209" s="9">
        <v>45240</v>
      </c>
      <c r="D1209" t="s">
        <v>18</v>
      </c>
      <c r="E1209" t="s">
        <v>328</v>
      </c>
      <c r="F1209">
        <v>759</v>
      </c>
    </row>
    <row r="1210" spans="1:6">
      <c r="A1210" t="s">
        <v>1268</v>
      </c>
      <c r="B1210">
        <v>2023</v>
      </c>
      <c r="C1210" s="9">
        <v>45241</v>
      </c>
      <c r="D1210" t="s">
        <v>20</v>
      </c>
      <c r="E1210" t="s">
        <v>328</v>
      </c>
      <c r="F1210">
        <v>0</v>
      </c>
    </row>
    <row r="1211" spans="1:6">
      <c r="A1211" t="s">
        <v>1269</v>
      </c>
      <c r="B1211">
        <v>2023</v>
      </c>
      <c r="C1211" s="9">
        <v>45242</v>
      </c>
      <c r="D1211" t="s">
        <v>22</v>
      </c>
      <c r="E1211" t="s">
        <v>328</v>
      </c>
      <c r="F1211">
        <v>0</v>
      </c>
    </row>
    <row r="1212" spans="1:6">
      <c r="A1212" t="s">
        <v>1270</v>
      </c>
      <c r="B1212">
        <v>2023</v>
      </c>
      <c r="C1212" s="9">
        <v>45243</v>
      </c>
      <c r="D1212" t="s">
        <v>24</v>
      </c>
      <c r="E1212" t="s">
        <v>328</v>
      </c>
      <c r="F1212">
        <v>0</v>
      </c>
    </row>
    <row r="1213" spans="1:6">
      <c r="A1213" t="s">
        <v>1271</v>
      </c>
      <c r="B1213">
        <v>2023</v>
      </c>
      <c r="C1213" s="9">
        <v>45244</v>
      </c>
      <c r="D1213" t="s">
        <v>7</v>
      </c>
      <c r="E1213" t="s">
        <v>328</v>
      </c>
      <c r="F1213">
        <v>250</v>
      </c>
    </row>
    <row r="1214" spans="1:6">
      <c r="A1214" t="s">
        <v>1272</v>
      </c>
      <c r="B1214">
        <v>2023</v>
      </c>
      <c r="C1214" s="9">
        <v>45245</v>
      </c>
      <c r="D1214" t="s">
        <v>10</v>
      </c>
      <c r="E1214" t="s">
        <v>328</v>
      </c>
      <c r="F1214">
        <v>705</v>
      </c>
    </row>
    <row r="1215" spans="1:6">
      <c r="A1215" t="s">
        <v>1273</v>
      </c>
      <c r="B1215">
        <v>2023</v>
      </c>
      <c r="C1215" s="9">
        <v>45246</v>
      </c>
      <c r="D1215" t="s">
        <v>13</v>
      </c>
      <c r="E1215" t="s">
        <v>328</v>
      </c>
      <c r="F1215">
        <v>476</v>
      </c>
    </row>
    <row r="1216" spans="1:6">
      <c r="A1216" t="s">
        <v>1274</v>
      </c>
      <c r="B1216">
        <v>2023</v>
      </c>
      <c r="C1216" s="9">
        <v>45247</v>
      </c>
      <c r="D1216" t="s">
        <v>18</v>
      </c>
      <c r="E1216" t="s">
        <v>328</v>
      </c>
      <c r="F1216">
        <v>479</v>
      </c>
    </row>
    <row r="1217" spans="1:6">
      <c r="A1217" t="s">
        <v>1275</v>
      </c>
      <c r="B1217">
        <v>2023</v>
      </c>
      <c r="C1217" s="9">
        <v>45248</v>
      </c>
      <c r="D1217" t="s">
        <v>20</v>
      </c>
      <c r="E1217" t="s">
        <v>328</v>
      </c>
      <c r="F1217">
        <v>553</v>
      </c>
    </row>
    <row r="1218" spans="1:6">
      <c r="A1218" t="s">
        <v>1276</v>
      </c>
      <c r="B1218">
        <v>2023</v>
      </c>
      <c r="C1218" s="9">
        <v>45249</v>
      </c>
      <c r="D1218" t="s">
        <v>22</v>
      </c>
      <c r="E1218" t="s">
        <v>328</v>
      </c>
      <c r="F1218">
        <v>0</v>
      </c>
    </row>
    <row r="1219" spans="1:6">
      <c r="A1219" t="s">
        <v>1277</v>
      </c>
      <c r="B1219">
        <v>2023</v>
      </c>
      <c r="C1219" s="9">
        <v>45250</v>
      </c>
      <c r="D1219" t="s">
        <v>24</v>
      </c>
      <c r="E1219" t="s">
        <v>328</v>
      </c>
      <c r="F1219">
        <v>0</v>
      </c>
    </row>
    <row r="1220" spans="1:6">
      <c r="A1220" t="s">
        <v>1278</v>
      </c>
      <c r="B1220">
        <v>2023</v>
      </c>
      <c r="C1220" s="9">
        <v>45251</v>
      </c>
      <c r="D1220" t="s">
        <v>7</v>
      </c>
      <c r="E1220" t="s">
        <v>328</v>
      </c>
      <c r="F1220">
        <v>17</v>
      </c>
    </row>
    <row r="1221" spans="1:6">
      <c r="A1221" t="s">
        <v>1279</v>
      </c>
      <c r="B1221">
        <v>2023</v>
      </c>
      <c r="C1221" s="9">
        <v>45252</v>
      </c>
      <c r="D1221" t="s">
        <v>10</v>
      </c>
      <c r="E1221" t="s">
        <v>328</v>
      </c>
      <c r="F1221">
        <v>768</v>
      </c>
    </row>
    <row r="1222" spans="1:6">
      <c r="A1222" t="s">
        <v>1280</v>
      </c>
      <c r="B1222">
        <v>2023</v>
      </c>
      <c r="C1222" s="9">
        <v>45253</v>
      </c>
      <c r="D1222" t="s">
        <v>13</v>
      </c>
      <c r="E1222" t="s">
        <v>328</v>
      </c>
      <c r="F1222">
        <v>270</v>
      </c>
    </row>
    <row r="1223" spans="1:6">
      <c r="A1223" t="s">
        <v>1281</v>
      </c>
      <c r="B1223">
        <v>2023</v>
      </c>
      <c r="C1223" s="9">
        <v>45254</v>
      </c>
      <c r="D1223" t="s">
        <v>18</v>
      </c>
      <c r="E1223" t="s">
        <v>328</v>
      </c>
      <c r="F1223">
        <v>472</v>
      </c>
    </row>
    <row r="1224" spans="1:6">
      <c r="A1224" t="s">
        <v>1282</v>
      </c>
      <c r="B1224">
        <v>2023</v>
      </c>
      <c r="C1224" s="9">
        <v>45255</v>
      </c>
      <c r="D1224" t="s">
        <v>20</v>
      </c>
      <c r="E1224" t="s">
        <v>328</v>
      </c>
      <c r="F1224">
        <v>492</v>
      </c>
    </row>
    <row r="1225" spans="1:6">
      <c r="A1225" t="s">
        <v>1283</v>
      </c>
      <c r="B1225">
        <v>2023</v>
      </c>
      <c r="C1225" s="9">
        <v>45256</v>
      </c>
      <c r="D1225" t="s">
        <v>22</v>
      </c>
      <c r="E1225" t="s">
        <v>328</v>
      </c>
      <c r="F1225">
        <v>0</v>
      </c>
    </row>
    <row r="1226" spans="1:6">
      <c r="A1226" t="s">
        <v>1284</v>
      </c>
      <c r="B1226">
        <v>2023</v>
      </c>
      <c r="C1226" s="9">
        <v>45257</v>
      </c>
      <c r="D1226" t="s">
        <v>24</v>
      </c>
      <c r="E1226" t="s">
        <v>328</v>
      </c>
      <c r="F1226">
        <v>0</v>
      </c>
    </row>
    <row r="1227" spans="1:6">
      <c r="A1227" t="s">
        <v>1285</v>
      </c>
      <c r="B1227">
        <v>2023</v>
      </c>
      <c r="C1227" s="9">
        <v>45258</v>
      </c>
      <c r="D1227" t="s">
        <v>7</v>
      </c>
      <c r="E1227" t="s">
        <v>328</v>
      </c>
      <c r="F1227">
        <v>745</v>
      </c>
    </row>
    <row r="1228" spans="1:6">
      <c r="A1228" t="s">
        <v>1286</v>
      </c>
      <c r="B1228">
        <v>2023</v>
      </c>
      <c r="C1228" s="9">
        <v>45259</v>
      </c>
      <c r="D1228" t="s">
        <v>10</v>
      </c>
      <c r="E1228" t="s">
        <v>328</v>
      </c>
      <c r="F1228">
        <v>321</v>
      </c>
    </row>
    <row r="1229" spans="1:6">
      <c r="A1229" t="s">
        <v>1287</v>
      </c>
      <c r="B1229">
        <v>2023</v>
      </c>
      <c r="C1229" s="9">
        <v>45260</v>
      </c>
      <c r="D1229" t="s">
        <v>13</v>
      </c>
      <c r="E1229" t="s">
        <v>328</v>
      </c>
      <c r="F1229">
        <v>548</v>
      </c>
    </row>
    <row r="1230" spans="1:6">
      <c r="A1230" t="s">
        <v>1288</v>
      </c>
      <c r="B1230">
        <v>2023</v>
      </c>
      <c r="C1230" s="9">
        <v>45261</v>
      </c>
      <c r="D1230" t="s">
        <v>18</v>
      </c>
      <c r="E1230" t="s">
        <v>358</v>
      </c>
      <c r="F1230">
        <v>360</v>
      </c>
    </row>
    <row r="1231" spans="1:6">
      <c r="A1231" t="s">
        <v>1289</v>
      </c>
      <c r="B1231">
        <v>2023</v>
      </c>
      <c r="C1231" s="9">
        <v>45262</v>
      </c>
      <c r="D1231" t="s">
        <v>20</v>
      </c>
      <c r="E1231" t="s">
        <v>358</v>
      </c>
      <c r="F1231">
        <v>609</v>
      </c>
    </row>
    <row r="1232" spans="1:6">
      <c r="A1232" t="s">
        <v>1290</v>
      </c>
      <c r="B1232">
        <v>2023</v>
      </c>
      <c r="C1232" s="9">
        <v>45263</v>
      </c>
      <c r="D1232" t="s">
        <v>22</v>
      </c>
      <c r="E1232" t="s">
        <v>358</v>
      </c>
      <c r="F1232">
        <v>0</v>
      </c>
    </row>
    <row r="1233" spans="1:6">
      <c r="A1233" t="s">
        <v>1291</v>
      </c>
      <c r="B1233">
        <v>2023</v>
      </c>
      <c r="C1233" s="9">
        <v>45264</v>
      </c>
      <c r="D1233" t="s">
        <v>24</v>
      </c>
      <c r="E1233" t="s">
        <v>358</v>
      </c>
      <c r="F1233">
        <v>0</v>
      </c>
    </row>
    <row r="1234" spans="1:6">
      <c r="A1234" t="s">
        <v>1292</v>
      </c>
      <c r="B1234">
        <v>2023</v>
      </c>
      <c r="C1234" s="9">
        <v>45265</v>
      </c>
      <c r="D1234" t="s">
        <v>7</v>
      </c>
      <c r="E1234" t="s">
        <v>358</v>
      </c>
      <c r="F1234">
        <v>975</v>
      </c>
    </row>
    <row r="1235" spans="1:6">
      <c r="A1235" t="s">
        <v>1293</v>
      </c>
      <c r="B1235">
        <v>2023</v>
      </c>
      <c r="C1235" s="9">
        <v>45266</v>
      </c>
      <c r="D1235" t="s">
        <v>10</v>
      </c>
      <c r="E1235" t="s">
        <v>358</v>
      </c>
      <c r="F1235">
        <v>470</v>
      </c>
    </row>
    <row r="1236" spans="1:6">
      <c r="A1236" t="s">
        <v>1294</v>
      </c>
      <c r="B1236">
        <v>2023</v>
      </c>
      <c r="C1236" s="9">
        <v>45267</v>
      </c>
      <c r="D1236" t="s">
        <v>13</v>
      </c>
      <c r="E1236" t="s">
        <v>358</v>
      </c>
      <c r="F1236">
        <v>619</v>
      </c>
    </row>
    <row r="1237" spans="1:6">
      <c r="A1237" t="s">
        <v>1295</v>
      </c>
      <c r="B1237">
        <v>2023</v>
      </c>
      <c r="C1237" s="9">
        <v>45268</v>
      </c>
      <c r="D1237" t="s">
        <v>18</v>
      </c>
      <c r="E1237" t="s">
        <v>358</v>
      </c>
      <c r="F1237">
        <v>291</v>
      </c>
    </row>
    <row r="1238" spans="1:6">
      <c r="A1238" t="s">
        <v>1296</v>
      </c>
      <c r="B1238">
        <v>2023</v>
      </c>
      <c r="C1238" s="9">
        <v>45269</v>
      </c>
      <c r="D1238" t="s">
        <v>20</v>
      </c>
      <c r="E1238" t="s">
        <v>358</v>
      </c>
      <c r="F1238">
        <v>544</v>
      </c>
    </row>
    <row r="1239" spans="1:6">
      <c r="A1239" t="s">
        <v>1297</v>
      </c>
      <c r="B1239">
        <v>2023</v>
      </c>
      <c r="C1239" s="9">
        <v>45270</v>
      </c>
      <c r="D1239" t="s">
        <v>22</v>
      </c>
      <c r="E1239" t="s">
        <v>358</v>
      </c>
      <c r="F1239">
        <v>0</v>
      </c>
    </row>
    <row r="1240" spans="1:6">
      <c r="A1240" t="s">
        <v>1298</v>
      </c>
      <c r="B1240">
        <v>2023</v>
      </c>
      <c r="C1240" s="9">
        <v>45271</v>
      </c>
      <c r="D1240" t="s">
        <v>24</v>
      </c>
      <c r="E1240" t="s">
        <v>358</v>
      </c>
      <c r="F1240">
        <v>0</v>
      </c>
    </row>
    <row r="1241" spans="1:6">
      <c r="A1241" t="s">
        <v>1299</v>
      </c>
      <c r="B1241">
        <v>2023</v>
      </c>
      <c r="C1241" s="9">
        <v>45272</v>
      </c>
      <c r="D1241" t="s">
        <v>7</v>
      </c>
      <c r="E1241" t="s">
        <v>358</v>
      </c>
      <c r="F1241">
        <v>509</v>
      </c>
    </row>
    <row r="1242" spans="1:6">
      <c r="A1242" t="s">
        <v>1300</v>
      </c>
      <c r="B1242">
        <v>2023</v>
      </c>
      <c r="C1242" s="9">
        <v>45273</v>
      </c>
      <c r="D1242" t="s">
        <v>10</v>
      </c>
      <c r="E1242" t="s">
        <v>358</v>
      </c>
      <c r="F1242">
        <v>773</v>
      </c>
    </row>
    <row r="1243" spans="1:6">
      <c r="A1243" t="s">
        <v>1301</v>
      </c>
      <c r="B1243">
        <v>2023</v>
      </c>
      <c r="C1243" s="9">
        <v>45274</v>
      </c>
      <c r="D1243" t="s">
        <v>13</v>
      </c>
      <c r="E1243" t="s">
        <v>358</v>
      </c>
      <c r="F1243">
        <v>536</v>
      </c>
    </row>
    <row r="1244" spans="1:6">
      <c r="A1244" t="s">
        <v>1302</v>
      </c>
      <c r="B1244">
        <v>2023</v>
      </c>
      <c r="C1244" s="9">
        <v>45275</v>
      </c>
      <c r="D1244" t="s">
        <v>18</v>
      </c>
      <c r="E1244" t="s">
        <v>358</v>
      </c>
      <c r="F1244">
        <v>644</v>
      </c>
    </row>
    <row r="1245" spans="1:6">
      <c r="A1245" t="s">
        <v>1303</v>
      </c>
      <c r="B1245">
        <v>2023</v>
      </c>
      <c r="C1245" s="9">
        <v>45276</v>
      </c>
      <c r="D1245" t="s">
        <v>20</v>
      </c>
      <c r="E1245" t="s">
        <v>358</v>
      </c>
      <c r="F1245">
        <v>576</v>
      </c>
    </row>
    <row r="1246" spans="1:6">
      <c r="A1246" t="s">
        <v>1304</v>
      </c>
      <c r="B1246">
        <v>2023</v>
      </c>
      <c r="C1246" s="9">
        <v>45277</v>
      </c>
      <c r="D1246" t="s">
        <v>22</v>
      </c>
      <c r="E1246" t="s">
        <v>358</v>
      </c>
      <c r="F1246">
        <v>0</v>
      </c>
    </row>
    <row r="1247" spans="1:6">
      <c r="A1247" t="s">
        <v>1305</v>
      </c>
      <c r="B1247">
        <v>2023</v>
      </c>
      <c r="C1247" s="9">
        <v>45278</v>
      </c>
      <c r="D1247" t="s">
        <v>24</v>
      </c>
      <c r="E1247" t="s">
        <v>358</v>
      </c>
      <c r="F1247">
        <v>0</v>
      </c>
    </row>
    <row r="1248" spans="1:6">
      <c r="A1248" t="s">
        <v>1306</v>
      </c>
      <c r="B1248">
        <v>2023</v>
      </c>
      <c r="C1248" s="9">
        <v>45279</v>
      </c>
      <c r="D1248" t="s">
        <v>7</v>
      </c>
      <c r="E1248" t="s">
        <v>358</v>
      </c>
      <c r="F1248">
        <v>560</v>
      </c>
    </row>
    <row r="1249" spans="1:6">
      <c r="A1249" t="s">
        <v>1307</v>
      </c>
      <c r="B1249">
        <v>2023</v>
      </c>
      <c r="C1249" s="9">
        <v>45280</v>
      </c>
      <c r="D1249" t="s">
        <v>10</v>
      </c>
      <c r="E1249" t="s">
        <v>358</v>
      </c>
      <c r="F1249">
        <v>725</v>
      </c>
    </row>
    <row r="1250" spans="1:6">
      <c r="A1250" t="s">
        <v>1308</v>
      </c>
      <c r="B1250">
        <v>2023</v>
      </c>
      <c r="C1250" s="9">
        <v>45281</v>
      </c>
      <c r="D1250" t="s">
        <v>13</v>
      </c>
      <c r="E1250" t="s">
        <v>358</v>
      </c>
      <c r="F1250">
        <v>520</v>
      </c>
    </row>
    <row r="1251" spans="1:6">
      <c r="A1251" t="s">
        <v>1309</v>
      </c>
      <c r="B1251">
        <v>2023</v>
      </c>
      <c r="C1251" s="9">
        <v>45282</v>
      </c>
      <c r="D1251" t="s">
        <v>18</v>
      </c>
      <c r="E1251" t="s">
        <v>358</v>
      </c>
      <c r="F1251">
        <v>1009</v>
      </c>
    </row>
    <row r="1252" spans="1:6">
      <c r="A1252" t="s">
        <v>1310</v>
      </c>
      <c r="B1252">
        <v>2023</v>
      </c>
      <c r="C1252" s="9">
        <v>45283</v>
      </c>
      <c r="D1252" t="s">
        <v>20</v>
      </c>
      <c r="E1252" t="s">
        <v>358</v>
      </c>
      <c r="F1252">
        <v>428</v>
      </c>
    </row>
    <row r="1253" spans="1:6">
      <c r="A1253" t="s">
        <v>1311</v>
      </c>
      <c r="B1253">
        <v>2023</v>
      </c>
      <c r="C1253" s="9">
        <v>45284</v>
      </c>
      <c r="D1253" t="s">
        <v>22</v>
      </c>
      <c r="E1253" t="s">
        <v>358</v>
      </c>
      <c r="F1253">
        <v>0</v>
      </c>
    </row>
    <row r="1254" spans="1:6">
      <c r="A1254" t="s">
        <v>1312</v>
      </c>
      <c r="B1254">
        <v>2023</v>
      </c>
      <c r="C1254" s="9">
        <v>45285</v>
      </c>
      <c r="D1254" t="s">
        <v>24</v>
      </c>
      <c r="E1254" t="s">
        <v>358</v>
      </c>
      <c r="F1254">
        <v>0</v>
      </c>
    </row>
    <row r="1255" spans="1:6">
      <c r="A1255" t="s">
        <v>1313</v>
      </c>
      <c r="B1255">
        <v>2023</v>
      </c>
      <c r="C1255" s="9">
        <v>45286</v>
      </c>
      <c r="D1255" t="s">
        <v>7</v>
      </c>
      <c r="E1255" t="s">
        <v>358</v>
      </c>
      <c r="F1255">
        <v>80</v>
      </c>
    </row>
    <row r="1256" spans="1:6">
      <c r="A1256" t="s">
        <v>1314</v>
      </c>
      <c r="B1256">
        <v>2023</v>
      </c>
      <c r="C1256" s="9">
        <v>45287</v>
      </c>
      <c r="D1256" t="s">
        <v>10</v>
      </c>
      <c r="E1256" t="s">
        <v>358</v>
      </c>
      <c r="F1256">
        <v>362</v>
      </c>
    </row>
    <row r="1257" spans="1:6">
      <c r="A1257" t="s">
        <v>1315</v>
      </c>
      <c r="B1257">
        <v>2023</v>
      </c>
      <c r="C1257" s="9">
        <v>45288</v>
      </c>
      <c r="D1257" t="s">
        <v>13</v>
      </c>
      <c r="E1257" t="s">
        <v>358</v>
      </c>
      <c r="F1257">
        <v>250</v>
      </c>
    </row>
    <row r="1258" spans="1:6">
      <c r="A1258" t="s">
        <v>1316</v>
      </c>
      <c r="B1258">
        <v>2023</v>
      </c>
      <c r="C1258" s="9">
        <v>45289</v>
      </c>
      <c r="D1258" t="s">
        <v>18</v>
      </c>
      <c r="E1258" t="s">
        <v>358</v>
      </c>
      <c r="F1258">
        <v>581</v>
      </c>
    </row>
    <row r="1259" spans="1:6">
      <c r="A1259" t="s">
        <v>1317</v>
      </c>
      <c r="B1259">
        <v>2023</v>
      </c>
      <c r="C1259" s="9">
        <v>45290</v>
      </c>
      <c r="D1259" t="s">
        <v>20</v>
      </c>
      <c r="E1259" t="s">
        <v>358</v>
      </c>
      <c r="F1259">
        <v>397</v>
      </c>
    </row>
    <row r="1260" spans="1:6">
      <c r="A1260" t="s">
        <v>1318</v>
      </c>
      <c r="B1260">
        <v>2023</v>
      </c>
      <c r="C1260" s="9">
        <v>45291</v>
      </c>
      <c r="D1260" t="s">
        <v>22</v>
      </c>
      <c r="E1260" t="s">
        <v>358</v>
      </c>
      <c r="F1260">
        <v>0</v>
      </c>
    </row>
    <row r="1261" spans="1:6">
      <c r="A1261" t="s">
        <v>1337</v>
      </c>
      <c r="B1261">
        <v>2019</v>
      </c>
      <c r="C1261" s="9">
        <v>43647</v>
      </c>
      <c r="D1261" t="s">
        <v>24</v>
      </c>
      <c r="E1261" t="s">
        <v>8</v>
      </c>
      <c r="F1261">
        <v>0</v>
      </c>
    </row>
    <row r="1262" spans="1:6">
      <c r="A1262" t="s">
        <v>1338</v>
      </c>
      <c r="B1262">
        <v>2019</v>
      </c>
      <c r="C1262" s="9">
        <v>43648</v>
      </c>
      <c r="D1262" t="s">
        <v>7</v>
      </c>
      <c r="E1262" t="s">
        <v>8</v>
      </c>
      <c r="F1262">
        <v>307</v>
      </c>
    </row>
    <row r="1263" spans="1:6">
      <c r="A1263" t="s">
        <v>1339</v>
      </c>
      <c r="B1263">
        <v>2019</v>
      </c>
      <c r="C1263" s="9">
        <v>43649</v>
      </c>
      <c r="D1263" t="s">
        <v>10</v>
      </c>
      <c r="E1263" t="s">
        <v>8</v>
      </c>
      <c r="F1263">
        <v>275</v>
      </c>
    </row>
    <row r="1264" spans="1:6">
      <c r="A1264" t="s">
        <v>1340</v>
      </c>
      <c r="B1264">
        <v>2019</v>
      </c>
      <c r="C1264" s="9">
        <v>43650</v>
      </c>
      <c r="D1264" t="s">
        <v>13</v>
      </c>
      <c r="E1264" t="s">
        <v>8</v>
      </c>
      <c r="F1264">
        <v>604</v>
      </c>
    </row>
    <row r="1265" spans="1:6">
      <c r="A1265" t="s">
        <v>1341</v>
      </c>
      <c r="B1265">
        <v>2019</v>
      </c>
      <c r="C1265" s="9">
        <v>43651</v>
      </c>
      <c r="D1265" t="s">
        <v>18</v>
      </c>
      <c r="E1265" t="s">
        <v>8</v>
      </c>
      <c r="F1265">
        <v>654</v>
      </c>
    </row>
    <row r="1266" spans="1:6">
      <c r="A1266" t="s">
        <v>1342</v>
      </c>
      <c r="B1266">
        <v>2019</v>
      </c>
      <c r="C1266" s="9">
        <v>43652</v>
      </c>
      <c r="D1266" t="s">
        <v>20</v>
      </c>
      <c r="E1266" t="s">
        <v>8</v>
      </c>
      <c r="F1266">
        <v>692</v>
      </c>
    </row>
    <row r="1267" spans="1:6">
      <c r="A1267" t="s">
        <v>1343</v>
      </c>
      <c r="B1267">
        <v>2019</v>
      </c>
      <c r="C1267" s="9">
        <v>43653</v>
      </c>
      <c r="D1267" t="s">
        <v>22</v>
      </c>
      <c r="E1267" t="s">
        <v>8</v>
      </c>
      <c r="F1267">
        <v>0</v>
      </c>
    </row>
    <row r="1268" spans="1:6">
      <c r="A1268" t="s">
        <v>1344</v>
      </c>
      <c r="B1268">
        <v>2019</v>
      </c>
      <c r="C1268" s="9">
        <v>43654</v>
      </c>
      <c r="D1268" t="s">
        <v>24</v>
      </c>
      <c r="E1268" t="s">
        <v>8</v>
      </c>
      <c r="F1268">
        <v>0</v>
      </c>
    </row>
    <row r="1269" spans="1:6">
      <c r="A1269" t="s">
        <v>1345</v>
      </c>
      <c r="B1269">
        <v>2019</v>
      </c>
      <c r="C1269" s="9">
        <v>43655</v>
      </c>
      <c r="D1269" t="s">
        <v>7</v>
      </c>
      <c r="E1269" t="s">
        <v>8</v>
      </c>
      <c r="F1269">
        <v>582</v>
      </c>
    </row>
    <row r="1270" spans="1:6">
      <c r="A1270" t="s">
        <v>1346</v>
      </c>
      <c r="B1270">
        <v>2019</v>
      </c>
      <c r="C1270" s="9">
        <v>43656</v>
      </c>
      <c r="D1270" t="s">
        <v>10</v>
      </c>
      <c r="E1270" t="s">
        <v>8</v>
      </c>
      <c r="F1270">
        <v>414</v>
      </c>
    </row>
    <row r="1271" spans="1:6">
      <c r="A1271" t="s">
        <v>1347</v>
      </c>
      <c r="B1271">
        <v>2019</v>
      </c>
      <c r="C1271" s="9">
        <v>43657</v>
      </c>
      <c r="D1271" t="s">
        <v>13</v>
      </c>
      <c r="E1271" t="s">
        <v>8</v>
      </c>
      <c r="F1271">
        <v>941</v>
      </c>
    </row>
    <row r="1272" spans="1:6">
      <c r="A1272" t="s">
        <v>1348</v>
      </c>
      <c r="B1272">
        <v>2019</v>
      </c>
      <c r="C1272" s="9">
        <v>43658</v>
      </c>
      <c r="D1272" t="s">
        <v>18</v>
      </c>
      <c r="E1272" t="s">
        <v>8</v>
      </c>
      <c r="F1272">
        <v>1091</v>
      </c>
    </row>
    <row r="1273" spans="1:6">
      <c r="A1273" t="s">
        <v>1349</v>
      </c>
      <c r="B1273">
        <v>2019</v>
      </c>
      <c r="C1273" s="9">
        <v>43659</v>
      </c>
      <c r="D1273" t="s">
        <v>20</v>
      </c>
      <c r="E1273" t="s">
        <v>8</v>
      </c>
      <c r="F1273">
        <v>429</v>
      </c>
    </row>
    <row r="1274" spans="1:6">
      <c r="A1274" t="s">
        <v>1350</v>
      </c>
      <c r="B1274">
        <v>2019</v>
      </c>
      <c r="C1274" s="9">
        <v>43660</v>
      </c>
      <c r="D1274" t="s">
        <v>22</v>
      </c>
      <c r="E1274" t="s">
        <v>8</v>
      </c>
      <c r="F1274">
        <v>0</v>
      </c>
    </row>
    <row r="1275" spans="1:6">
      <c r="A1275" t="s">
        <v>1351</v>
      </c>
      <c r="B1275">
        <v>2019</v>
      </c>
      <c r="C1275" s="9">
        <v>43661</v>
      </c>
      <c r="D1275" t="s">
        <v>24</v>
      </c>
      <c r="E1275" t="s">
        <v>8</v>
      </c>
      <c r="F1275">
        <v>0</v>
      </c>
    </row>
    <row r="1276" spans="1:6">
      <c r="A1276" t="s">
        <v>1352</v>
      </c>
      <c r="B1276">
        <v>2019</v>
      </c>
      <c r="C1276" s="9">
        <v>43662</v>
      </c>
      <c r="D1276" t="s">
        <v>7</v>
      </c>
      <c r="E1276" t="s">
        <v>8</v>
      </c>
      <c r="F1276">
        <v>562</v>
      </c>
    </row>
    <row r="1277" spans="1:6">
      <c r="A1277" t="s">
        <v>1353</v>
      </c>
      <c r="B1277">
        <v>2019</v>
      </c>
      <c r="C1277" s="9">
        <v>43663</v>
      </c>
      <c r="D1277" t="s">
        <v>10</v>
      </c>
      <c r="E1277" t="s">
        <v>8</v>
      </c>
      <c r="F1277">
        <v>443</v>
      </c>
    </row>
    <row r="1278" spans="1:6">
      <c r="A1278" t="s">
        <v>1354</v>
      </c>
      <c r="B1278">
        <v>2019</v>
      </c>
      <c r="C1278" s="9">
        <v>43664</v>
      </c>
      <c r="D1278" t="s">
        <v>13</v>
      </c>
      <c r="E1278" t="s">
        <v>8</v>
      </c>
      <c r="F1278">
        <v>630</v>
      </c>
    </row>
    <row r="1279" spans="1:6">
      <c r="A1279" t="s">
        <v>1355</v>
      </c>
      <c r="B1279">
        <v>2019</v>
      </c>
      <c r="C1279" s="9">
        <v>43665</v>
      </c>
      <c r="D1279" t="s">
        <v>18</v>
      </c>
      <c r="E1279" t="s">
        <v>8</v>
      </c>
      <c r="F1279">
        <v>510</v>
      </c>
    </row>
    <row r="1280" spans="1:6">
      <c r="A1280" t="s">
        <v>1356</v>
      </c>
      <c r="B1280">
        <v>2019</v>
      </c>
      <c r="C1280" s="9">
        <v>43666</v>
      </c>
      <c r="D1280" t="s">
        <v>20</v>
      </c>
      <c r="E1280" t="s">
        <v>8</v>
      </c>
      <c r="F1280">
        <v>401</v>
      </c>
    </row>
    <row r="1281" spans="1:6">
      <c r="A1281" t="s">
        <v>1357</v>
      </c>
      <c r="B1281">
        <v>2019</v>
      </c>
      <c r="C1281" s="9">
        <v>43667</v>
      </c>
      <c r="D1281" t="s">
        <v>22</v>
      </c>
      <c r="E1281" t="s">
        <v>8</v>
      </c>
      <c r="F1281">
        <v>0</v>
      </c>
    </row>
    <row r="1282" spans="1:6">
      <c r="A1282" t="s">
        <v>1358</v>
      </c>
      <c r="B1282">
        <v>2019</v>
      </c>
      <c r="C1282" s="9">
        <v>43668</v>
      </c>
      <c r="D1282" t="s">
        <v>24</v>
      </c>
      <c r="E1282" t="s">
        <v>8</v>
      </c>
      <c r="F1282">
        <v>0</v>
      </c>
    </row>
    <row r="1283" spans="1:6">
      <c r="A1283" t="s">
        <v>1359</v>
      </c>
      <c r="B1283">
        <v>2019</v>
      </c>
      <c r="C1283" s="9">
        <v>43669</v>
      </c>
      <c r="D1283" t="s">
        <v>7</v>
      </c>
      <c r="E1283" t="s">
        <v>8</v>
      </c>
      <c r="F1283">
        <v>616</v>
      </c>
    </row>
    <row r="1284" spans="1:6">
      <c r="A1284" t="s">
        <v>1360</v>
      </c>
      <c r="B1284">
        <v>2019</v>
      </c>
      <c r="C1284" s="9">
        <v>43670</v>
      </c>
      <c r="D1284" t="s">
        <v>10</v>
      </c>
      <c r="E1284" t="s">
        <v>8</v>
      </c>
      <c r="F1284">
        <v>456</v>
      </c>
    </row>
    <row r="1285" spans="1:6">
      <c r="A1285" t="s">
        <v>1361</v>
      </c>
      <c r="B1285">
        <v>2019</v>
      </c>
      <c r="C1285" s="9">
        <v>43671</v>
      </c>
      <c r="D1285" t="s">
        <v>13</v>
      </c>
      <c r="E1285" t="s">
        <v>8</v>
      </c>
      <c r="F1285">
        <v>546</v>
      </c>
    </row>
    <row r="1286" spans="1:6">
      <c r="A1286" t="s">
        <v>1362</v>
      </c>
      <c r="B1286">
        <v>2019</v>
      </c>
      <c r="C1286" s="9">
        <v>43672</v>
      </c>
      <c r="D1286" t="s">
        <v>18</v>
      </c>
      <c r="E1286" t="s">
        <v>8</v>
      </c>
      <c r="F1286">
        <v>912</v>
      </c>
    </row>
    <row r="1287" spans="1:6">
      <c r="A1287" t="s">
        <v>1363</v>
      </c>
      <c r="B1287">
        <v>2019</v>
      </c>
      <c r="C1287" s="9">
        <v>43673</v>
      </c>
      <c r="D1287" t="s">
        <v>20</v>
      </c>
      <c r="E1287" t="s">
        <v>8</v>
      </c>
      <c r="F1287">
        <v>583</v>
      </c>
    </row>
    <row r="1288" spans="1:6">
      <c r="A1288" t="s">
        <v>1364</v>
      </c>
      <c r="B1288">
        <v>2019</v>
      </c>
      <c r="C1288" s="9">
        <v>43674</v>
      </c>
      <c r="D1288" t="s">
        <v>22</v>
      </c>
      <c r="E1288" t="s">
        <v>8</v>
      </c>
      <c r="F1288">
        <v>0</v>
      </c>
    </row>
    <row r="1289" spans="1:6">
      <c r="A1289" t="s">
        <v>1365</v>
      </c>
      <c r="B1289">
        <v>2019</v>
      </c>
      <c r="C1289" s="9">
        <v>43675</v>
      </c>
      <c r="D1289" t="s">
        <v>24</v>
      </c>
      <c r="E1289" t="s">
        <v>8</v>
      </c>
      <c r="F1289">
        <v>0</v>
      </c>
    </row>
    <row r="1290" spans="1:6">
      <c r="A1290" t="s">
        <v>1366</v>
      </c>
      <c r="B1290">
        <v>2019</v>
      </c>
      <c r="C1290" s="9">
        <v>43676</v>
      </c>
      <c r="D1290" t="s">
        <v>7</v>
      </c>
      <c r="E1290" t="s">
        <v>8</v>
      </c>
      <c r="F1290">
        <v>536</v>
      </c>
    </row>
    <row r="1291" spans="1:6">
      <c r="A1291" t="s">
        <v>1367</v>
      </c>
      <c r="B1291">
        <v>2019</v>
      </c>
      <c r="C1291" s="9">
        <v>43677</v>
      </c>
      <c r="D1291" t="s">
        <v>10</v>
      </c>
      <c r="E1291" t="s">
        <v>8</v>
      </c>
      <c r="F1291">
        <v>830</v>
      </c>
    </row>
    <row r="1292" spans="1:6">
      <c r="A1292" t="s">
        <v>1368</v>
      </c>
      <c r="B1292">
        <v>2019</v>
      </c>
      <c r="C1292" s="9">
        <v>43678</v>
      </c>
      <c r="D1292" t="s">
        <v>13</v>
      </c>
      <c r="E1292" t="s">
        <v>234</v>
      </c>
      <c r="F1292">
        <v>448</v>
      </c>
    </row>
    <row r="1293" spans="1:6">
      <c r="A1293" t="s">
        <v>1369</v>
      </c>
      <c r="B1293">
        <v>2019</v>
      </c>
      <c r="C1293" s="9">
        <v>43679</v>
      </c>
      <c r="D1293" t="s">
        <v>18</v>
      </c>
      <c r="E1293" t="s">
        <v>234</v>
      </c>
      <c r="F1293">
        <v>408</v>
      </c>
    </row>
    <row r="1294" spans="1:6">
      <c r="A1294" t="s">
        <v>1370</v>
      </c>
      <c r="B1294">
        <v>2019</v>
      </c>
      <c r="C1294" s="9">
        <v>43680</v>
      </c>
      <c r="D1294" t="s">
        <v>20</v>
      </c>
      <c r="E1294" t="s">
        <v>234</v>
      </c>
      <c r="F1294">
        <v>388</v>
      </c>
    </row>
    <row r="1295" spans="1:6">
      <c r="A1295" t="s">
        <v>1371</v>
      </c>
      <c r="B1295">
        <v>2019</v>
      </c>
      <c r="C1295" s="9">
        <v>43681</v>
      </c>
      <c r="D1295" t="s">
        <v>22</v>
      </c>
      <c r="E1295" t="s">
        <v>234</v>
      </c>
      <c r="F1295">
        <v>0</v>
      </c>
    </row>
    <row r="1296" spans="1:6">
      <c r="A1296" t="s">
        <v>1372</v>
      </c>
      <c r="B1296">
        <v>2019</v>
      </c>
      <c r="C1296" s="9">
        <v>43682</v>
      </c>
      <c r="D1296" t="s">
        <v>24</v>
      </c>
      <c r="E1296" t="s">
        <v>234</v>
      </c>
      <c r="F1296">
        <v>0</v>
      </c>
    </row>
    <row r="1297" spans="1:6">
      <c r="A1297" t="s">
        <v>1373</v>
      </c>
      <c r="B1297">
        <v>2019</v>
      </c>
      <c r="C1297" s="9">
        <v>43683</v>
      </c>
      <c r="D1297" t="s">
        <v>7</v>
      </c>
      <c r="E1297" t="s">
        <v>234</v>
      </c>
      <c r="F1297">
        <v>686</v>
      </c>
    </row>
    <row r="1298" spans="1:6">
      <c r="A1298" t="s">
        <v>1374</v>
      </c>
      <c r="B1298">
        <v>2019</v>
      </c>
      <c r="C1298" s="9">
        <v>43684</v>
      </c>
      <c r="D1298" t="s">
        <v>10</v>
      </c>
      <c r="E1298" t="s">
        <v>234</v>
      </c>
      <c r="F1298">
        <v>339</v>
      </c>
    </row>
    <row r="1299" spans="1:6">
      <c r="A1299" t="s">
        <v>1375</v>
      </c>
      <c r="B1299">
        <v>2019</v>
      </c>
      <c r="C1299" s="9">
        <v>43685</v>
      </c>
      <c r="D1299" t="s">
        <v>13</v>
      </c>
      <c r="E1299" t="s">
        <v>234</v>
      </c>
      <c r="F1299">
        <v>856</v>
      </c>
    </row>
    <row r="1300" spans="1:6">
      <c r="A1300" t="s">
        <v>1376</v>
      </c>
      <c r="B1300">
        <v>2019</v>
      </c>
      <c r="C1300" s="9">
        <v>43686</v>
      </c>
      <c r="D1300" t="s">
        <v>18</v>
      </c>
      <c r="E1300" t="s">
        <v>234</v>
      </c>
      <c r="F1300">
        <v>939</v>
      </c>
    </row>
    <row r="1301" spans="1:6">
      <c r="A1301" t="s">
        <v>1377</v>
      </c>
      <c r="B1301">
        <v>2019</v>
      </c>
      <c r="C1301" s="9">
        <v>43687</v>
      </c>
      <c r="D1301" t="s">
        <v>20</v>
      </c>
      <c r="E1301" t="s">
        <v>234</v>
      </c>
      <c r="F1301">
        <v>812</v>
      </c>
    </row>
    <row r="1302" spans="1:6">
      <c r="A1302" t="s">
        <v>1378</v>
      </c>
      <c r="B1302">
        <v>2019</v>
      </c>
      <c r="C1302" s="9">
        <v>43688</v>
      </c>
      <c r="D1302" t="s">
        <v>22</v>
      </c>
      <c r="E1302" t="s">
        <v>234</v>
      </c>
      <c r="F1302">
        <v>0</v>
      </c>
    </row>
    <row r="1303" spans="1:6">
      <c r="A1303" t="s">
        <v>1379</v>
      </c>
      <c r="B1303">
        <v>2019</v>
      </c>
      <c r="C1303" s="9">
        <v>43689</v>
      </c>
      <c r="D1303" t="s">
        <v>24</v>
      </c>
      <c r="E1303" t="s">
        <v>234</v>
      </c>
      <c r="F1303">
        <v>0</v>
      </c>
    </row>
    <row r="1304" spans="1:6">
      <c r="A1304" t="s">
        <v>1380</v>
      </c>
      <c r="B1304">
        <v>2019</v>
      </c>
      <c r="C1304" s="9">
        <v>43690</v>
      </c>
      <c r="D1304" t="s">
        <v>7</v>
      </c>
      <c r="E1304" t="s">
        <v>234</v>
      </c>
      <c r="F1304">
        <v>612</v>
      </c>
    </row>
    <row r="1305" spans="1:6">
      <c r="A1305" t="s">
        <v>1381</v>
      </c>
      <c r="B1305">
        <v>2019</v>
      </c>
      <c r="C1305" s="9">
        <v>43691</v>
      </c>
      <c r="D1305" t="s">
        <v>10</v>
      </c>
      <c r="E1305" t="s">
        <v>234</v>
      </c>
      <c r="F1305">
        <v>578</v>
      </c>
    </row>
    <row r="1306" spans="1:6">
      <c r="A1306" t="s">
        <v>1382</v>
      </c>
      <c r="B1306">
        <v>2019</v>
      </c>
      <c r="C1306" s="9">
        <v>43692</v>
      </c>
      <c r="D1306" t="s">
        <v>13</v>
      </c>
      <c r="E1306" t="s">
        <v>234</v>
      </c>
      <c r="F1306">
        <v>0</v>
      </c>
    </row>
    <row r="1307" spans="1:6">
      <c r="A1307" t="s">
        <v>1383</v>
      </c>
      <c r="B1307">
        <v>2019</v>
      </c>
      <c r="C1307" s="9">
        <v>43693</v>
      </c>
      <c r="D1307" t="s">
        <v>18</v>
      </c>
      <c r="E1307" t="s">
        <v>234</v>
      </c>
      <c r="F1307">
        <v>617</v>
      </c>
    </row>
    <row r="1308" spans="1:6">
      <c r="A1308" t="s">
        <v>1384</v>
      </c>
      <c r="B1308">
        <v>2019</v>
      </c>
      <c r="C1308" s="9">
        <v>43694</v>
      </c>
      <c r="D1308" t="s">
        <v>20</v>
      </c>
      <c r="E1308" t="s">
        <v>234</v>
      </c>
      <c r="F1308">
        <v>467</v>
      </c>
    </row>
    <row r="1309" spans="1:6">
      <c r="A1309" t="s">
        <v>1385</v>
      </c>
      <c r="B1309">
        <v>2019</v>
      </c>
      <c r="C1309" s="9">
        <v>43695</v>
      </c>
      <c r="D1309" t="s">
        <v>22</v>
      </c>
      <c r="E1309" t="s">
        <v>234</v>
      </c>
      <c r="F1309">
        <v>0</v>
      </c>
    </row>
    <row r="1310" spans="1:6">
      <c r="A1310" t="s">
        <v>1386</v>
      </c>
      <c r="B1310">
        <v>2019</v>
      </c>
      <c r="C1310" s="9">
        <v>43696</v>
      </c>
      <c r="D1310" t="s">
        <v>24</v>
      </c>
      <c r="E1310" t="s">
        <v>234</v>
      </c>
      <c r="F1310">
        <v>0</v>
      </c>
    </row>
    <row r="1311" spans="1:6">
      <c r="A1311" t="s">
        <v>1387</v>
      </c>
      <c r="B1311">
        <v>2019</v>
      </c>
      <c r="C1311" s="9">
        <v>43697</v>
      </c>
      <c r="D1311" t="s">
        <v>7</v>
      </c>
      <c r="E1311" t="s">
        <v>234</v>
      </c>
      <c r="F1311">
        <v>274</v>
      </c>
    </row>
    <row r="1312" spans="1:6">
      <c r="A1312" t="s">
        <v>1388</v>
      </c>
      <c r="B1312">
        <v>2019</v>
      </c>
      <c r="C1312" s="9">
        <v>43698</v>
      </c>
      <c r="D1312" t="s">
        <v>10</v>
      </c>
      <c r="E1312" t="s">
        <v>234</v>
      </c>
      <c r="F1312">
        <v>468</v>
      </c>
    </row>
    <row r="1313" spans="1:6">
      <c r="A1313" t="s">
        <v>1389</v>
      </c>
      <c r="B1313">
        <v>2019</v>
      </c>
      <c r="C1313" s="9">
        <v>43699</v>
      </c>
      <c r="D1313" t="s">
        <v>13</v>
      </c>
      <c r="E1313" t="s">
        <v>234</v>
      </c>
      <c r="F1313">
        <v>634</v>
      </c>
    </row>
    <row r="1314" spans="1:6">
      <c r="A1314" t="s">
        <v>1390</v>
      </c>
      <c r="B1314">
        <v>2019</v>
      </c>
      <c r="C1314" s="9">
        <v>43700</v>
      </c>
      <c r="D1314" t="s">
        <v>18</v>
      </c>
      <c r="E1314" t="s">
        <v>234</v>
      </c>
      <c r="F1314">
        <v>808</v>
      </c>
    </row>
    <row r="1315" spans="1:6">
      <c r="A1315" t="s">
        <v>1391</v>
      </c>
      <c r="B1315">
        <v>2019</v>
      </c>
      <c r="C1315" s="9">
        <v>43701</v>
      </c>
      <c r="D1315" t="s">
        <v>20</v>
      </c>
      <c r="E1315" t="s">
        <v>234</v>
      </c>
      <c r="F1315">
        <v>357</v>
      </c>
    </row>
    <row r="1316" spans="1:6">
      <c r="A1316" t="s">
        <v>1392</v>
      </c>
      <c r="B1316">
        <v>2019</v>
      </c>
      <c r="C1316" s="9">
        <v>43702</v>
      </c>
      <c r="D1316" t="s">
        <v>22</v>
      </c>
      <c r="E1316" t="s">
        <v>234</v>
      </c>
      <c r="F1316">
        <v>0</v>
      </c>
    </row>
    <row r="1317" spans="1:6">
      <c r="A1317" t="s">
        <v>1393</v>
      </c>
      <c r="B1317">
        <v>2019</v>
      </c>
      <c r="C1317" s="9">
        <v>43703</v>
      </c>
      <c r="D1317" t="s">
        <v>24</v>
      </c>
      <c r="E1317" t="s">
        <v>234</v>
      </c>
      <c r="F1317">
        <v>0</v>
      </c>
    </row>
    <row r="1318" spans="1:6">
      <c r="A1318" t="s">
        <v>1394</v>
      </c>
      <c r="B1318">
        <v>2019</v>
      </c>
      <c r="C1318" s="9">
        <v>43704</v>
      </c>
      <c r="D1318" t="s">
        <v>7</v>
      </c>
      <c r="E1318" t="s">
        <v>234</v>
      </c>
      <c r="F1318">
        <v>679</v>
      </c>
    </row>
    <row r="1319" spans="1:6">
      <c r="A1319" t="s">
        <v>1395</v>
      </c>
      <c r="B1319">
        <v>2019</v>
      </c>
      <c r="C1319" s="9">
        <v>43705</v>
      </c>
      <c r="D1319" t="s">
        <v>10</v>
      </c>
      <c r="E1319" t="s">
        <v>234</v>
      </c>
      <c r="F1319">
        <v>724</v>
      </c>
    </row>
    <row r="1320" spans="1:6">
      <c r="A1320" t="s">
        <v>1396</v>
      </c>
      <c r="B1320">
        <v>2019</v>
      </c>
      <c r="C1320" s="9">
        <v>43706</v>
      </c>
      <c r="D1320" t="s">
        <v>13</v>
      </c>
      <c r="E1320" t="s">
        <v>234</v>
      </c>
      <c r="F1320">
        <v>787</v>
      </c>
    </row>
    <row r="1321" spans="1:6">
      <c r="A1321" t="s">
        <v>1397</v>
      </c>
      <c r="B1321">
        <v>2019</v>
      </c>
      <c r="C1321" s="9">
        <v>43707</v>
      </c>
      <c r="D1321" t="s">
        <v>18</v>
      </c>
      <c r="E1321" t="s">
        <v>234</v>
      </c>
      <c r="F1321">
        <v>653</v>
      </c>
    </row>
    <row r="1322" spans="1:6">
      <c r="A1322" t="s">
        <v>1398</v>
      </c>
      <c r="B1322">
        <v>2019</v>
      </c>
      <c r="C1322" s="9">
        <v>43708</v>
      </c>
      <c r="D1322" t="s">
        <v>20</v>
      </c>
      <c r="E1322" t="s">
        <v>234</v>
      </c>
      <c r="F1322">
        <v>988</v>
      </c>
    </row>
    <row r="1323" spans="1:6">
      <c r="A1323" t="s">
        <v>1399</v>
      </c>
      <c r="B1323">
        <v>2019</v>
      </c>
      <c r="C1323" s="9">
        <v>43709</v>
      </c>
      <c r="D1323" t="s">
        <v>22</v>
      </c>
      <c r="E1323" t="s">
        <v>265</v>
      </c>
      <c r="F1323">
        <v>0</v>
      </c>
    </row>
    <row r="1324" spans="1:6">
      <c r="A1324" t="s">
        <v>1400</v>
      </c>
      <c r="B1324">
        <v>2019</v>
      </c>
      <c r="C1324" s="9">
        <v>43710</v>
      </c>
      <c r="D1324" t="s">
        <v>24</v>
      </c>
      <c r="E1324" t="s">
        <v>265</v>
      </c>
      <c r="F1324">
        <v>0</v>
      </c>
    </row>
    <row r="1325" spans="1:6">
      <c r="A1325" t="s">
        <v>1401</v>
      </c>
      <c r="B1325">
        <v>2019</v>
      </c>
      <c r="C1325" s="9">
        <v>43711</v>
      </c>
      <c r="D1325" t="s">
        <v>7</v>
      </c>
      <c r="E1325" t="s">
        <v>265</v>
      </c>
      <c r="F1325">
        <v>598</v>
      </c>
    </row>
    <row r="1326" spans="1:6">
      <c r="A1326" t="s">
        <v>1402</v>
      </c>
      <c r="B1326">
        <v>2019</v>
      </c>
      <c r="C1326" s="9">
        <v>43712</v>
      </c>
      <c r="D1326" t="s">
        <v>10</v>
      </c>
      <c r="E1326" t="s">
        <v>265</v>
      </c>
      <c r="F1326">
        <v>586</v>
      </c>
    </row>
    <row r="1327" spans="1:6">
      <c r="A1327" t="s">
        <v>1403</v>
      </c>
      <c r="B1327">
        <v>2019</v>
      </c>
      <c r="C1327" s="9">
        <v>43713</v>
      </c>
      <c r="D1327" t="s">
        <v>13</v>
      </c>
      <c r="E1327" t="s">
        <v>265</v>
      </c>
      <c r="F1327">
        <v>576</v>
      </c>
    </row>
    <row r="1328" spans="1:6">
      <c r="A1328" t="s">
        <v>1404</v>
      </c>
      <c r="B1328">
        <v>2019</v>
      </c>
      <c r="C1328" s="9">
        <v>43714</v>
      </c>
      <c r="D1328" t="s">
        <v>18</v>
      </c>
      <c r="E1328" t="s">
        <v>265</v>
      </c>
      <c r="F1328">
        <v>704</v>
      </c>
    </row>
    <row r="1329" spans="1:6">
      <c r="A1329" t="s">
        <v>1405</v>
      </c>
      <c r="B1329">
        <v>2019</v>
      </c>
      <c r="C1329" s="9">
        <v>43715</v>
      </c>
      <c r="D1329" t="s">
        <v>20</v>
      </c>
      <c r="E1329" t="s">
        <v>265</v>
      </c>
      <c r="F1329">
        <v>454</v>
      </c>
    </row>
    <row r="1330" spans="1:6">
      <c r="A1330" t="s">
        <v>1406</v>
      </c>
      <c r="B1330">
        <v>2019</v>
      </c>
      <c r="C1330" s="9">
        <v>43716</v>
      </c>
      <c r="D1330" t="s">
        <v>22</v>
      </c>
      <c r="E1330" t="s">
        <v>265</v>
      </c>
      <c r="F1330">
        <v>0</v>
      </c>
    </row>
    <row r="1331" spans="1:6">
      <c r="A1331" t="s">
        <v>1407</v>
      </c>
      <c r="B1331">
        <v>2019</v>
      </c>
      <c r="C1331" s="9">
        <v>43717</v>
      </c>
      <c r="D1331" t="s">
        <v>24</v>
      </c>
      <c r="E1331" t="s">
        <v>265</v>
      </c>
      <c r="F1331">
        <v>0</v>
      </c>
    </row>
    <row r="1332" spans="1:6">
      <c r="A1332" t="s">
        <v>1408</v>
      </c>
      <c r="B1332">
        <v>2019</v>
      </c>
      <c r="C1332" s="9">
        <v>43718</v>
      </c>
      <c r="D1332" t="s">
        <v>7</v>
      </c>
      <c r="E1332" t="s">
        <v>265</v>
      </c>
      <c r="F1332">
        <v>663</v>
      </c>
    </row>
    <row r="1333" spans="1:6">
      <c r="A1333" t="s">
        <v>1409</v>
      </c>
      <c r="B1333">
        <v>2019</v>
      </c>
      <c r="C1333" s="9">
        <v>43719</v>
      </c>
      <c r="D1333" t="s">
        <v>10</v>
      </c>
      <c r="E1333" t="s">
        <v>265</v>
      </c>
      <c r="F1333">
        <v>575</v>
      </c>
    </row>
    <row r="1334" spans="1:6">
      <c r="A1334" t="s">
        <v>1410</v>
      </c>
      <c r="B1334">
        <v>2019</v>
      </c>
      <c r="C1334" s="9">
        <v>43720</v>
      </c>
      <c r="D1334" t="s">
        <v>13</v>
      </c>
      <c r="E1334" t="s">
        <v>265</v>
      </c>
      <c r="F1334">
        <v>580</v>
      </c>
    </row>
    <row r="1335" spans="1:6">
      <c r="A1335" t="s">
        <v>1411</v>
      </c>
      <c r="B1335">
        <v>2019</v>
      </c>
      <c r="C1335" s="9">
        <v>43721</v>
      </c>
      <c r="D1335" t="s">
        <v>18</v>
      </c>
      <c r="E1335" t="s">
        <v>265</v>
      </c>
      <c r="F1335">
        <v>471</v>
      </c>
    </row>
    <row r="1336" spans="1:6">
      <c r="A1336" t="s">
        <v>1412</v>
      </c>
      <c r="B1336">
        <v>2019</v>
      </c>
      <c r="C1336" s="9">
        <v>43722</v>
      </c>
      <c r="D1336" t="s">
        <v>20</v>
      </c>
      <c r="E1336" t="s">
        <v>265</v>
      </c>
      <c r="F1336">
        <v>408</v>
      </c>
    </row>
    <row r="1337" spans="1:6">
      <c r="A1337" t="s">
        <v>1413</v>
      </c>
      <c r="B1337">
        <v>2019</v>
      </c>
      <c r="C1337" s="9">
        <v>43723</v>
      </c>
      <c r="D1337" t="s">
        <v>22</v>
      </c>
      <c r="E1337" t="s">
        <v>265</v>
      </c>
      <c r="F1337">
        <v>0</v>
      </c>
    </row>
    <row r="1338" spans="1:6">
      <c r="A1338" t="s">
        <v>1414</v>
      </c>
      <c r="B1338">
        <v>2019</v>
      </c>
      <c r="C1338" s="9">
        <v>43724</v>
      </c>
      <c r="D1338" t="s">
        <v>24</v>
      </c>
      <c r="E1338" t="s">
        <v>265</v>
      </c>
      <c r="F1338">
        <v>0</v>
      </c>
    </row>
    <row r="1339" spans="1:6">
      <c r="A1339" t="s">
        <v>1415</v>
      </c>
      <c r="B1339">
        <v>2019</v>
      </c>
      <c r="C1339" s="9">
        <v>43725</v>
      </c>
      <c r="D1339" t="s">
        <v>7</v>
      </c>
      <c r="E1339" t="s">
        <v>265</v>
      </c>
      <c r="F1339">
        <v>473</v>
      </c>
    </row>
    <row r="1340" spans="1:6">
      <c r="A1340" t="s">
        <v>1416</v>
      </c>
      <c r="B1340">
        <v>2019</v>
      </c>
      <c r="C1340" s="9">
        <v>43726</v>
      </c>
      <c r="D1340" t="s">
        <v>10</v>
      </c>
      <c r="E1340" t="s">
        <v>265</v>
      </c>
      <c r="F1340">
        <v>653</v>
      </c>
    </row>
    <row r="1341" spans="1:6">
      <c r="A1341" t="s">
        <v>1417</v>
      </c>
      <c r="B1341">
        <v>2019</v>
      </c>
      <c r="C1341" s="9">
        <v>43727</v>
      </c>
      <c r="D1341" t="s">
        <v>13</v>
      </c>
      <c r="E1341" t="s">
        <v>265</v>
      </c>
      <c r="F1341">
        <v>581</v>
      </c>
    </row>
    <row r="1342" spans="1:6">
      <c r="A1342" t="s">
        <v>1418</v>
      </c>
      <c r="B1342">
        <v>2019</v>
      </c>
      <c r="C1342" s="9">
        <v>43728</v>
      </c>
      <c r="D1342" t="s">
        <v>18</v>
      </c>
      <c r="E1342" t="s">
        <v>265</v>
      </c>
      <c r="F1342">
        <v>636</v>
      </c>
    </row>
    <row r="1343" spans="1:6">
      <c r="A1343" t="s">
        <v>1419</v>
      </c>
      <c r="B1343">
        <v>2019</v>
      </c>
      <c r="C1343" s="9">
        <v>43729</v>
      </c>
      <c r="D1343" t="s">
        <v>20</v>
      </c>
      <c r="E1343" t="s">
        <v>265</v>
      </c>
      <c r="F1343">
        <v>557</v>
      </c>
    </row>
    <row r="1344" spans="1:6">
      <c r="A1344" t="s">
        <v>1420</v>
      </c>
      <c r="B1344">
        <v>2019</v>
      </c>
      <c r="C1344" s="9">
        <v>43730</v>
      </c>
      <c r="D1344" t="s">
        <v>22</v>
      </c>
      <c r="E1344" t="s">
        <v>265</v>
      </c>
      <c r="F1344">
        <v>0</v>
      </c>
    </row>
    <row r="1345" spans="1:6">
      <c r="A1345" t="s">
        <v>1421</v>
      </c>
      <c r="B1345">
        <v>2019</v>
      </c>
      <c r="C1345" s="9">
        <v>43731</v>
      </c>
      <c r="D1345" t="s">
        <v>24</v>
      </c>
      <c r="E1345" t="s">
        <v>265</v>
      </c>
      <c r="F1345">
        <v>0</v>
      </c>
    </row>
    <row r="1346" spans="1:6">
      <c r="A1346" t="s">
        <v>1422</v>
      </c>
      <c r="B1346">
        <v>2019</v>
      </c>
      <c r="C1346" s="9">
        <v>43732</v>
      </c>
      <c r="D1346" t="s">
        <v>7</v>
      </c>
      <c r="E1346" t="s">
        <v>265</v>
      </c>
      <c r="F1346">
        <v>412</v>
      </c>
    </row>
    <row r="1347" spans="1:6">
      <c r="A1347" t="s">
        <v>1423</v>
      </c>
      <c r="B1347">
        <v>2019</v>
      </c>
      <c r="C1347" s="9">
        <v>43733</v>
      </c>
      <c r="D1347" t="s">
        <v>10</v>
      </c>
      <c r="E1347" t="s">
        <v>265</v>
      </c>
      <c r="F1347">
        <v>245</v>
      </c>
    </row>
    <row r="1348" spans="1:6">
      <c r="A1348" t="s">
        <v>1424</v>
      </c>
      <c r="B1348">
        <v>2019</v>
      </c>
      <c r="C1348" s="9">
        <v>43734</v>
      </c>
      <c r="D1348" t="s">
        <v>13</v>
      </c>
      <c r="E1348" t="s">
        <v>265</v>
      </c>
      <c r="F1348">
        <v>599</v>
      </c>
    </row>
    <row r="1349" spans="1:6">
      <c r="A1349" t="s">
        <v>1425</v>
      </c>
      <c r="B1349">
        <v>2019</v>
      </c>
      <c r="C1349" s="9">
        <v>43735</v>
      </c>
      <c r="D1349" t="s">
        <v>18</v>
      </c>
      <c r="E1349" t="s">
        <v>265</v>
      </c>
      <c r="F1349">
        <v>606</v>
      </c>
    </row>
    <row r="1350" spans="1:6">
      <c r="A1350" t="s">
        <v>1426</v>
      </c>
      <c r="B1350">
        <v>2019</v>
      </c>
      <c r="C1350" s="9">
        <v>43736</v>
      </c>
      <c r="D1350" t="s">
        <v>20</v>
      </c>
      <c r="E1350" t="s">
        <v>265</v>
      </c>
      <c r="F1350">
        <v>575</v>
      </c>
    </row>
    <row r="1351" spans="1:6">
      <c r="A1351" t="s">
        <v>1427</v>
      </c>
      <c r="B1351">
        <v>2019</v>
      </c>
      <c r="C1351" s="9">
        <v>43737</v>
      </c>
      <c r="D1351" t="s">
        <v>22</v>
      </c>
      <c r="E1351" t="s">
        <v>265</v>
      </c>
      <c r="F1351">
        <v>0</v>
      </c>
    </row>
    <row r="1352" spans="1:6">
      <c r="A1352" t="s">
        <v>1428</v>
      </c>
      <c r="B1352">
        <v>2019</v>
      </c>
      <c r="C1352" s="9">
        <v>43738</v>
      </c>
      <c r="D1352" t="s">
        <v>24</v>
      </c>
      <c r="E1352" t="s">
        <v>265</v>
      </c>
      <c r="F1352">
        <v>0</v>
      </c>
    </row>
    <row r="1353" spans="1:6">
      <c r="A1353" t="s">
        <v>1429</v>
      </c>
      <c r="B1353">
        <v>2019</v>
      </c>
      <c r="C1353" s="9">
        <v>43739</v>
      </c>
      <c r="D1353" t="s">
        <v>7</v>
      </c>
      <c r="E1353" t="s">
        <v>296</v>
      </c>
      <c r="F1353">
        <v>658</v>
      </c>
    </row>
    <row r="1354" spans="1:6">
      <c r="A1354" t="s">
        <v>1430</v>
      </c>
      <c r="B1354">
        <v>2019</v>
      </c>
      <c r="C1354" s="9">
        <v>43740</v>
      </c>
      <c r="D1354" t="s">
        <v>10</v>
      </c>
      <c r="E1354" t="s">
        <v>296</v>
      </c>
      <c r="F1354">
        <v>394</v>
      </c>
    </row>
    <row r="1355" spans="1:6">
      <c r="A1355" t="s">
        <v>1431</v>
      </c>
      <c r="B1355">
        <v>2019</v>
      </c>
      <c r="C1355" s="9">
        <v>43741</v>
      </c>
      <c r="D1355" t="s">
        <v>13</v>
      </c>
      <c r="E1355" t="s">
        <v>296</v>
      </c>
      <c r="F1355">
        <v>596</v>
      </c>
    </row>
    <row r="1356" spans="1:6">
      <c r="A1356" t="s">
        <v>1432</v>
      </c>
      <c r="B1356">
        <v>2019</v>
      </c>
      <c r="C1356" s="9">
        <v>43742</v>
      </c>
      <c r="D1356" t="s">
        <v>18</v>
      </c>
      <c r="E1356" t="s">
        <v>296</v>
      </c>
      <c r="F1356">
        <v>532</v>
      </c>
    </row>
    <row r="1357" spans="1:6">
      <c r="A1357" t="s">
        <v>1433</v>
      </c>
      <c r="B1357">
        <v>2019</v>
      </c>
      <c r="C1357" s="9">
        <v>43743</v>
      </c>
      <c r="D1357" t="s">
        <v>20</v>
      </c>
      <c r="E1357" t="s">
        <v>296</v>
      </c>
      <c r="F1357">
        <v>994</v>
      </c>
    </row>
    <row r="1358" spans="1:6">
      <c r="A1358" t="s">
        <v>1434</v>
      </c>
      <c r="B1358">
        <v>2019</v>
      </c>
      <c r="C1358" s="9">
        <v>43744</v>
      </c>
      <c r="D1358" t="s">
        <v>22</v>
      </c>
      <c r="E1358" t="s">
        <v>296</v>
      </c>
      <c r="F1358">
        <v>0</v>
      </c>
    </row>
    <row r="1359" spans="1:6">
      <c r="A1359" t="s">
        <v>1435</v>
      </c>
      <c r="B1359">
        <v>2019</v>
      </c>
      <c r="C1359" s="9">
        <v>43745</v>
      </c>
      <c r="D1359" t="s">
        <v>24</v>
      </c>
      <c r="E1359" t="s">
        <v>296</v>
      </c>
      <c r="F1359">
        <v>0</v>
      </c>
    </row>
    <row r="1360" spans="1:6">
      <c r="A1360" t="s">
        <v>1436</v>
      </c>
      <c r="B1360">
        <v>2019</v>
      </c>
      <c r="C1360" s="9">
        <v>43746</v>
      </c>
      <c r="D1360" t="s">
        <v>7</v>
      </c>
      <c r="E1360" t="s">
        <v>296</v>
      </c>
      <c r="F1360">
        <v>570</v>
      </c>
    </row>
    <row r="1361" spans="1:6">
      <c r="A1361" t="s">
        <v>1437</v>
      </c>
      <c r="B1361">
        <v>2019</v>
      </c>
      <c r="C1361" s="9">
        <v>43747</v>
      </c>
      <c r="D1361" t="s">
        <v>10</v>
      </c>
      <c r="E1361" t="s">
        <v>296</v>
      </c>
      <c r="F1361">
        <v>504</v>
      </c>
    </row>
    <row r="1362" spans="1:6">
      <c r="A1362" t="s">
        <v>1438</v>
      </c>
      <c r="B1362">
        <v>2019</v>
      </c>
      <c r="C1362" s="9">
        <v>43748</v>
      </c>
      <c r="D1362" t="s">
        <v>13</v>
      </c>
      <c r="E1362" t="s">
        <v>296</v>
      </c>
      <c r="F1362">
        <v>834</v>
      </c>
    </row>
    <row r="1363" spans="1:6">
      <c r="A1363" t="s">
        <v>1439</v>
      </c>
      <c r="B1363">
        <v>2019</v>
      </c>
      <c r="C1363" s="9">
        <v>43749</v>
      </c>
      <c r="D1363" t="s">
        <v>18</v>
      </c>
      <c r="E1363" t="s">
        <v>296</v>
      </c>
      <c r="F1363">
        <v>661</v>
      </c>
    </row>
    <row r="1364" spans="1:6">
      <c r="A1364" t="s">
        <v>1440</v>
      </c>
      <c r="B1364">
        <v>2019</v>
      </c>
      <c r="C1364" s="9">
        <v>43750</v>
      </c>
      <c r="D1364" t="s">
        <v>20</v>
      </c>
      <c r="E1364" t="s">
        <v>296</v>
      </c>
      <c r="F1364">
        <v>511</v>
      </c>
    </row>
    <row r="1365" spans="1:6">
      <c r="A1365" t="s">
        <v>1441</v>
      </c>
      <c r="B1365">
        <v>2019</v>
      </c>
      <c r="C1365" s="9">
        <v>43751</v>
      </c>
      <c r="D1365" t="s">
        <v>22</v>
      </c>
      <c r="E1365" t="s">
        <v>296</v>
      </c>
      <c r="F1365">
        <v>0</v>
      </c>
    </row>
    <row r="1366" spans="1:6">
      <c r="A1366" t="s">
        <v>1442</v>
      </c>
      <c r="B1366">
        <v>2019</v>
      </c>
      <c r="C1366" s="9">
        <v>43752</v>
      </c>
      <c r="D1366" t="s">
        <v>24</v>
      </c>
      <c r="E1366" t="s">
        <v>296</v>
      </c>
      <c r="F1366">
        <v>0</v>
      </c>
    </row>
    <row r="1367" spans="1:6">
      <c r="A1367" t="s">
        <v>1443</v>
      </c>
      <c r="B1367">
        <v>2019</v>
      </c>
      <c r="C1367" s="9">
        <v>43753</v>
      </c>
      <c r="D1367" t="s">
        <v>7</v>
      </c>
      <c r="E1367" t="s">
        <v>296</v>
      </c>
      <c r="F1367">
        <v>334</v>
      </c>
    </row>
    <row r="1368" spans="1:6">
      <c r="A1368" t="s">
        <v>1444</v>
      </c>
      <c r="B1368">
        <v>2019</v>
      </c>
      <c r="C1368" s="9">
        <v>43754</v>
      </c>
      <c r="D1368" t="s">
        <v>10</v>
      </c>
      <c r="E1368" t="s">
        <v>296</v>
      </c>
      <c r="F1368">
        <v>403</v>
      </c>
    </row>
    <row r="1369" spans="1:6">
      <c r="A1369" t="s">
        <v>1445</v>
      </c>
      <c r="B1369">
        <v>2019</v>
      </c>
      <c r="C1369" s="9">
        <v>43755</v>
      </c>
      <c r="D1369" t="s">
        <v>13</v>
      </c>
      <c r="E1369" t="s">
        <v>296</v>
      </c>
      <c r="F1369">
        <v>453</v>
      </c>
    </row>
    <row r="1370" spans="1:6">
      <c r="A1370" t="s">
        <v>1446</v>
      </c>
      <c r="B1370">
        <v>2019</v>
      </c>
      <c r="C1370" s="9">
        <v>43756</v>
      </c>
      <c r="D1370" t="s">
        <v>18</v>
      </c>
      <c r="E1370" t="s">
        <v>296</v>
      </c>
      <c r="F1370">
        <v>787.5</v>
      </c>
    </row>
    <row r="1371" spans="1:6">
      <c r="A1371" t="s">
        <v>1447</v>
      </c>
      <c r="B1371">
        <v>2019</v>
      </c>
      <c r="C1371" s="9">
        <v>43757</v>
      </c>
      <c r="D1371" t="s">
        <v>20</v>
      </c>
      <c r="E1371" t="s">
        <v>296</v>
      </c>
      <c r="F1371">
        <v>541</v>
      </c>
    </row>
    <row r="1372" spans="1:6">
      <c r="A1372" t="s">
        <v>1448</v>
      </c>
      <c r="B1372">
        <v>2019</v>
      </c>
      <c r="C1372" s="9">
        <v>43758</v>
      </c>
      <c r="D1372" t="s">
        <v>22</v>
      </c>
      <c r="E1372" t="s">
        <v>296</v>
      </c>
      <c r="F1372">
        <v>0</v>
      </c>
    </row>
    <row r="1373" spans="1:6">
      <c r="A1373" t="s">
        <v>1449</v>
      </c>
      <c r="B1373">
        <v>2019</v>
      </c>
      <c r="C1373" s="9">
        <v>43759</v>
      </c>
      <c r="D1373" t="s">
        <v>24</v>
      </c>
      <c r="E1373" t="s">
        <v>296</v>
      </c>
      <c r="F1373">
        <v>0</v>
      </c>
    </row>
    <row r="1374" spans="1:6">
      <c r="A1374" t="s">
        <v>1450</v>
      </c>
      <c r="B1374">
        <v>2019</v>
      </c>
      <c r="C1374" s="9">
        <v>43760</v>
      </c>
      <c r="D1374" t="s">
        <v>7</v>
      </c>
      <c r="E1374" t="s">
        <v>296</v>
      </c>
      <c r="F1374">
        <v>513</v>
      </c>
    </row>
    <row r="1375" spans="1:6">
      <c r="A1375" t="s">
        <v>1451</v>
      </c>
      <c r="B1375">
        <v>2019</v>
      </c>
      <c r="C1375" s="9">
        <v>43761</v>
      </c>
      <c r="D1375" t="s">
        <v>10</v>
      </c>
      <c r="E1375" t="s">
        <v>296</v>
      </c>
      <c r="F1375">
        <v>302</v>
      </c>
    </row>
    <row r="1376" spans="1:6">
      <c r="A1376" t="s">
        <v>1452</v>
      </c>
      <c r="B1376">
        <v>2019</v>
      </c>
      <c r="C1376" s="9">
        <v>43762</v>
      </c>
      <c r="D1376" t="s">
        <v>13</v>
      </c>
      <c r="E1376" t="s">
        <v>296</v>
      </c>
      <c r="F1376">
        <v>571</v>
      </c>
    </row>
    <row r="1377" spans="1:6">
      <c r="A1377" t="s">
        <v>1453</v>
      </c>
      <c r="B1377">
        <v>2019</v>
      </c>
      <c r="C1377" s="9">
        <v>43763</v>
      </c>
      <c r="D1377" t="s">
        <v>18</v>
      </c>
      <c r="E1377" t="s">
        <v>296</v>
      </c>
      <c r="F1377">
        <v>475</v>
      </c>
    </row>
    <row r="1378" spans="1:6">
      <c r="A1378" t="s">
        <v>1454</v>
      </c>
      <c r="B1378">
        <v>2019</v>
      </c>
      <c r="C1378" s="9">
        <v>43764</v>
      </c>
      <c r="D1378" t="s">
        <v>20</v>
      </c>
      <c r="E1378" t="s">
        <v>296</v>
      </c>
      <c r="F1378">
        <v>418</v>
      </c>
    </row>
    <row r="1379" spans="1:6">
      <c r="A1379" t="s">
        <v>1455</v>
      </c>
      <c r="B1379">
        <v>2019</v>
      </c>
      <c r="C1379" s="9">
        <v>43765</v>
      </c>
      <c r="D1379" t="s">
        <v>22</v>
      </c>
      <c r="E1379" t="s">
        <v>296</v>
      </c>
      <c r="F1379">
        <v>0</v>
      </c>
    </row>
    <row r="1380" spans="1:6">
      <c r="A1380" t="s">
        <v>1456</v>
      </c>
      <c r="B1380">
        <v>2019</v>
      </c>
      <c r="C1380" s="9">
        <v>43766</v>
      </c>
      <c r="D1380" t="s">
        <v>24</v>
      </c>
      <c r="E1380" t="s">
        <v>296</v>
      </c>
      <c r="F1380">
        <v>0</v>
      </c>
    </row>
    <row r="1381" spans="1:6">
      <c r="A1381" t="s">
        <v>1457</v>
      </c>
      <c r="B1381">
        <v>2019</v>
      </c>
      <c r="C1381" s="9">
        <v>43767</v>
      </c>
      <c r="D1381" t="s">
        <v>7</v>
      </c>
      <c r="E1381" t="s">
        <v>296</v>
      </c>
      <c r="F1381">
        <v>857</v>
      </c>
    </row>
    <row r="1382" spans="1:6">
      <c r="A1382" t="s">
        <v>1458</v>
      </c>
      <c r="B1382">
        <v>2019</v>
      </c>
      <c r="C1382" s="9">
        <v>43768</v>
      </c>
      <c r="D1382" t="s">
        <v>10</v>
      </c>
      <c r="E1382" t="s">
        <v>296</v>
      </c>
      <c r="F1382">
        <v>0</v>
      </c>
    </row>
    <row r="1383" spans="1:6">
      <c r="A1383" t="s">
        <v>1459</v>
      </c>
      <c r="B1383">
        <v>2019</v>
      </c>
      <c r="C1383" s="9">
        <v>43769</v>
      </c>
      <c r="D1383" t="s">
        <v>13</v>
      </c>
      <c r="E1383" t="s">
        <v>296</v>
      </c>
      <c r="F1383">
        <v>673.75</v>
      </c>
    </row>
    <row r="1384" spans="1:6">
      <c r="A1384" t="s">
        <v>1460</v>
      </c>
      <c r="B1384">
        <v>2019</v>
      </c>
      <c r="C1384" s="9">
        <v>43770</v>
      </c>
      <c r="D1384" t="s">
        <v>18</v>
      </c>
      <c r="E1384" t="s">
        <v>328</v>
      </c>
      <c r="F1384">
        <v>0</v>
      </c>
    </row>
    <row r="1385" spans="1:6">
      <c r="A1385" t="s">
        <v>1461</v>
      </c>
      <c r="B1385">
        <v>2019</v>
      </c>
      <c r="C1385" s="9">
        <v>43771</v>
      </c>
      <c r="D1385" t="s">
        <v>20</v>
      </c>
      <c r="E1385" t="s">
        <v>328</v>
      </c>
      <c r="F1385">
        <v>552</v>
      </c>
    </row>
    <row r="1386" spans="1:6">
      <c r="A1386" t="s">
        <v>1462</v>
      </c>
      <c r="B1386">
        <v>2019</v>
      </c>
      <c r="C1386" s="9">
        <v>43772</v>
      </c>
      <c r="D1386" t="s">
        <v>22</v>
      </c>
      <c r="E1386" t="s">
        <v>328</v>
      </c>
      <c r="F1386">
        <v>0</v>
      </c>
    </row>
    <row r="1387" spans="1:6">
      <c r="A1387" t="s">
        <v>1463</v>
      </c>
      <c r="B1387">
        <v>2019</v>
      </c>
      <c r="C1387" s="9">
        <v>43773</v>
      </c>
      <c r="D1387" t="s">
        <v>24</v>
      </c>
      <c r="E1387" t="s">
        <v>328</v>
      </c>
      <c r="F1387">
        <v>0</v>
      </c>
    </row>
    <row r="1388" spans="1:6">
      <c r="A1388" t="s">
        <v>1464</v>
      </c>
      <c r="B1388">
        <v>2019</v>
      </c>
      <c r="C1388" s="9">
        <v>43774</v>
      </c>
      <c r="D1388" t="s">
        <v>7</v>
      </c>
      <c r="E1388" t="s">
        <v>328</v>
      </c>
      <c r="F1388">
        <v>417</v>
      </c>
    </row>
    <row r="1389" spans="1:6">
      <c r="A1389" t="s">
        <v>1465</v>
      </c>
      <c r="B1389">
        <v>2019</v>
      </c>
      <c r="C1389" s="9">
        <v>43775</v>
      </c>
      <c r="D1389" t="s">
        <v>10</v>
      </c>
      <c r="E1389" t="s">
        <v>328</v>
      </c>
      <c r="F1389">
        <v>459</v>
      </c>
    </row>
    <row r="1390" spans="1:6">
      <c r="A1390" t="s">
        <v>1466</v>
      </c>
      <c r="B1390">
        <v>2019</v>
      </c>
      <c r="C1390" s="9">
        <v>43776</v>
      </c>
      <c r="D1390" t="s">
        <v>13</v>
      </c>
      <c r="E1390" t="s">
        <v>328</v>
      </c>
      <c r="F1390">
        <v>917</v>
      </c>
    </row>
    <row r="1391" spans="1:6">
      <c r="A1391" t="s">
        <v>1467</v>
      </c>
      <c r="B1391">
        <v>2019</v>
      </c>
      <c r="C1391" s="9">
        <v>43777</v>
      </c>
      <c r="D1391" t="s">
        <v>18</v>
      </c>
      <c r="E1391" t="s">
        <v>328</v>
      </c>
      <c r="F1391">
        <v>1020</v>
      </c>
    </row>
    <row r="1392" spans="1:6">
      <c r="A1392" t="s">
        <v>1468</v>
      </c>
      <c r="B1392">
        <v>2019</v>
      </c>
      <c r="C1392" s="9">
        <v>43778</v>
      </c>
      <c r="D1392" t="s">
        <v>20</v>
      </c>
      <c r="E1392" t="s">
        <v>328</v>
      </c>
      <c r="F1392">
        <v>753</v>
      </c>
    </row>
    <row r="1393" spans="1:6">
      <c r="A1393" t="s">
        <v>1469</v>
      </c>
      <c r="B1393">
        <v>2019</v>
      </c>
      <c r="C1393" s="9">
        <v>43779</v>
      </c>
      <c r="D1393" t="s">
        <v>22</v>
      </c>
      <c r="E1393" t="s">
        <v>328</v>
      </c>
      <c r="F1393">
        <v>0</v>
      </c>
    </row>
    <row r="1394" spans="1:6">
      <c r="A1394" t="s">
        <v>1470</v>
      </c>
      <c r="B1394">
        <v>2019</v>
      </c>
      <c r="C1394" s="9">
        <v>43780</v>
      </c>
      <c r="D1394" t="s">
        <v>24</v>
      </c>
      <c r="E1394" t="s">
        <v>328</v>
      </c>
      <c r="F1394">
        <v>0</v>
      </c>
    </row>
    <row r="1395" spans="1:6">
      <c r="A1395" t="s">
        <v>1471</v>
      </c>
      <c r="B1395">
        <v>2019</v>
      </c>
      <c r="C1395" s="9">
        <v>43781</v>
      </c>
      <c r="D1395" t="s">
        <v>7</v>
      </c>
      <c r="E1395" t="s">
        <v>328</v>
      </c>
      <c r="F1395">
        <v>294</v>
      </c>
    </row>
    <row r="1396" spans="1:6">
      <c r="A1396" t="s">
        <v>1472</v>
      </c>
      <c r="B1396">
        <v>2019</v>
      </c>
      <c r="C1396" s="9">
        <v>43782</v>
      </c>
      <c r="D1396" t="s">
        <v>10</v>
      </c>
      <c r="E1396" t="s">
        <v>328</v>
      </c>
      <c r="F1396">
        <v>346</v>
      </c>
    </row>
    <row r="1397" spans="1:6">
      <c r="A1397" t="s">
        <v>1473</v>
      </c>
      <c r="B1397">
        <v>2019</v>
      </c>
      <c r="C1397" s="9">
        <v>43783</v>
      </c>
      <c r="D1397" t="s">
        <v>13</v>
      </c>
      <c r="E1397" t="s">
        <v>328</v>
      </c>
      <c r="F1397">
        <v>530</v>
      </c>
    </row>
    <row r="1398" spans="1:6">
      <c r="A1398" t="s">
        <v>1474</v>
      </c>
      <c r="B1398">
        <v>2019</v>
      </c>
      <c r="C1398" s="9">
        <v>43784</v>
      </c>
      <c r="D1398" t="s">
        <v>18</v>
      </c>
      <c r="E1398" t="s">
        <v>328</v>
      </c>
      <c r="F1398">
        <v>522</v>
      </c>
    </row>
    <row r="1399" spans="1:6">
      <c r="A1399" t="s">
        <v>1475</v>
      </c>
      <c r="B1399">
        <v>2019</v>
      </c>
      <c r="C1399" s="9">
        <v>43785</v>
      </c>
      <c r="D1399" t="s">
        <v>20</v>
      </c>
      <c r="E1399" t="s">
        <v>328</v>
      </c>
      <c r="F1399">
        <v>562</v>
      </c>
    </row>
    <row r="1400" spans="1:6">
      <c r="A1400" t="s">
        <v>1476</v>
      </c>
      <c r="B1400">
        <v>2019</v>
      </c>
      <c r="C1400" s="9">
        <v>43786</v>
      </c>
      <c r="D1400" t="s">
        <v>22</v>
      </c>
      <c r="E1400" t="s">
        <v>328</v>
      </c>
      <c r="F1400">
        <v>0</v>
      </c>
    </row>
    <row r="1401" spans="1:6">
      <c r="A1401" t="s">
        <v>1477</v>
      </c>
      <c r="B1401">
        <v>2019</v>
      </c>
      <c r="C1401" s="9">
        <v>43787</v>
      </c>
      <c r="D1401" t="s">
        <v>24</v>
      </c>
      <c r="E1401" t="s">
        <v>328</v>
      </c>
      <c r="F1401">
        <v>0</v>
      </c>
    </row>
    <row r="1402" spans="1:6">
      <c r="A1402" t="s">
        <v>1478</v>
      </c>
      <c r="B1402">
        <v>2019</v>
      </c>
      <c r="C1402" s="9">
        <v>43788</v>
      </c>
      <c r="D1402" t="s">
        <v>7</v>
      </c>
      <c r="E1402" t="s">
        <v>328</v>
      </c>
      <c r="F1402">
        <v>475</v>
      </c>
    </row>
    <row r="1403" spans="1:6">
      <c r="A1403" t="s">
        <v>1479</v>
      </c>
      <c r="B1403">
        <v>2019</v>
      </c>
      <c r="C1403" s="9">
        <v>43789</v>
      </c>
      <c r="D1403" t="s">
        <v>10</v>
      </c>
      <c r="E1403" t="s">
        <v>328</v>
      </c>
      <c r="F1403">
        <v>192</v>
      </c>
    </row>
    <row r="1404" spans="1:6">
      <c r="A1404" t="s">
        <v>1480</v>
      </c>
      <c r="B1404">
        <v>2019</v>
      </c>
      <c r="C1404" s="9">
        <v>43790</v>
      </c>
      <c r="D1404" t="s">
        <v>13</v>
      </c>
      <c r="E1404" t="s">
        <v>328</v>
      </c>
      <c r="F1404">
        <v>613</v>
      </c>
    </row>
    <row r="1405" spans="1:6">
      <c r="A1405" t="s">
        <v>1481</v>
      </c>
      <c r="B1405">
        <v>2019</v>
      </c>
      <c r="C1405" s="9">
        <v>43791</v>
      </c>
      <c r="D1405" t="s">
        <v>18</v>
      </c>
      <c r="E1405" t="s">
        <v>328</v>
      </c>
      <c r="F1405">
        <v>519</v>
      </c>
    </row>
    <row r="1406" spans="1:6">
      <c r="A1406" t="s">
        <v>1482</v>
      </c>
      <c r="B1406">
        <v>2019</v>
      </c>
      <c r="C1406" s="9">
        <v>43792</v>
      </c>
      <c r="D1406" t="s">
        <v>20</v>
      </c>
      <c r="E1406" t="s">
        <v>328</v>
      </c>
      <c r="F1406">
        <v>802</v>
      </c>
    </row>
    <row r="1407" spans="1:6">
      <c r="A1407" t="s">
        <v>1483</v>
      </c>
      <c r="B1407">
        <v>2019</v>
      </c>
      <c r="C1407" s="9">
        <v>43793</v>
      </c>
      <c r="D1407" t="s">
        <v>22</v>
      </c>
      <c r="E1407" t="s">
        <v>328</v>
      </c>
      <c r="F1407">
        <v>0</v>
      </c>
    </row>
    <row r="1408" spans="1:6">
      <c r="A1408" t="s">
        <v>1484</v>
      </c>
      <c r="B1408">
        <v>2019</v>
      </c>
      <c r="C1408" s="9">
        <v>43794</v>
      </c>
      <c r="D1408" t="s">
        <v>24</v>
      </c>
      <c r="E1408" t="s">
        <v>328</v>
      </c>
      <c r="F1408">
        <v>0</v>
      </c>
    </row>
    <row r="1409" spans="1:6">
      <c r="A1409" t="s">
        <v>1485</v>
      </c>
      <c r="B1409">
        <v>2019</v>
      </c>
      <c r="C1409" s="9">
        <v>43795</v>
      </c>
      <c r="D1409" t="s">
        <v>7</v>
      </c>
      <c r="E1409" t="s">
        <v>328</v>
      </c>
      <c r="F1409">
        <v>389</v>
      </c>
    </row>
    <row r="1410" spans="1:6">
      <c r="A1410" t="s">
        <v>1486</v>
      </c>
      <c r="B1410">
        <v>2019</v>
      </c>
      <c r="C1410" s="9">
        <v>43796</v>
      </c>
      <c r="D1410" t="s">
        <v>10</v>
      </c>
      <c r="E1410" t="s">
        <v>328</v>
      </c>
      <c r="F1410">
        <v>383</v>
      </c>
    </row>
    <row r="1411" spans="1:6">
      <c r="A1411" t="s">
        <v>1487</v>
      </c>
      <c r="B1411">
        <v>2019</v>
      </c>
      <c r="C1411" s="9">
        <v>43797</v>
      </c>
      <c r="D1411" t="s">
        <v>13</v>
      </c>
      <c r="E1411" t="s">
        <v>328</v>
      </c>
      <c r="F1411">
        <v>532</v>
      </c>
    </row>
    <row r="1412" spans="1:6">
      <c r="A1412" t="s">
        <v>1488</v>
      </c>
      <c r="B1412">
        <v>2019</v>
      </c>
      <c r="C1412" s="9">
        <v>43798</v>
      </c>
      <c r="D1412" t="s">
        <v>18</v>
      </c>
      <c r="E1412" t="s">
        <v>328</v>
      </c>
      <c r="F1412">
        <v>628</v>
      </c>
    </row>
    <row r="1413" spans="1:6">
      <c r="A1413" t="s">
        <v>1489</v>
      </c>
      <c r="B1413">
        <v>2019</v>
      </c>
      <c r="C1413" s="9">
        <v>43799</v>
      </c>
      <c r="D1413" t="s">
        <v>20</v>
      </c>
      <c r="E1413" t="s">
        <v>328</v>
      </c>
      <c r="F1413">
        <v>753.5</v>
      </c>
    </row>
    <row r="1414" spans="1:6">
      <c r="A1414" t="s">
        <v>1490</v>
      </c>
      <c r="B1414">
        <v>2019</v>
      </c>
      <c r="C1414" s="9">
        <v>43800</v>
      </c>
      <c r="D1414" t="s">
        <v>22</v>
      </c>
      <c r="E1414" t="s">
        <v>358</v>
      </c>
      <c r="F1414">
        <v>0</v>
      </c>
    </row>
    <row r="1415" spans="1:6">
      <c r="A1415" t="s">
        <v>1491</v>
      </c>
      <c r="B1415">
        <v>2019</v>
      </c>
      <c r="C1415" s="9">
        <v>43801</v>
      </c>
      <c r="D1415" t="s">
        <v>24</v>
      </c>
      <c r="E1415" t="s">
        <v>358</v>
      </c>
      <c r="F1415">
        <v>0</v>
      </c>
    </row>
    <row r="1416" spans="1:6">
      <c r="A1416" t="s">
        <v>1492</v>
      </c>
      <c r="B1416">
        <v>2019</v>
      </c>
      <c r="C1416" s="9">
        <v>43802</v>
      </c>
      <c r="D1416" t="s">
        <v>7</v>
      </c>
      <c r="E1416" t="s">
        <v>358</v>
      </c>
      <c r="F1416">
        <v>423</v>
      </c>
    </row>
    <row r="1417" spans="1:6">
      <c r="A1417" t="s">
        <v>1493</v>
      </c>
      <c r="B1417">
        <v>2019</v>
      </c>
      <c r="C1417" s="9">
        <v>43803</v>
      </c>
      <c r="D1417" t="s">
        <v>10</v>
      </c>
      <c r="E1417" t="s">
        <v>358</v>
      </c>
      <c r="F1417">
        <v>353</v>
      </c>
    </row>
    <row r="1418" spans="1:6">
      <c r="A1418" t="s">
        <v>1494</v>
      </c>
      <c r="B1418">
        <v>2019</v>
      </c>
      <c r="C1418" s="9">
        <v>43804</v>
      </c>
      <c r="D1418" t="s">
        <v>13</v>
      </c>
      <c r="E1418" t="s">
        <v>358</v>
      </c>
      <c r="F1418">
        <v>650</v>
      </c>
    </row>
    <row r="1419" spans="1:6">
      <c r="A1419" t="s">
        <v>1495</v>
      </c>
      <c r="B1419">
        <v>2019</v>
      </c>
      <c r="C1419" s="9">
        <v>43805</v>
      </c>
      <c r="D1419" t="s">
        <v>18</v>
      </c>
      <c r="E1419" t="s">
        <v>358</v>
      </c>
      <c r="F1419">
        <v>599</v>
      </c>
    </row>
    <row r="1420" spans="1:6">
      <c r="A1420" t="s">
        <v>1496</v>
      </c>
      <c r="B1420">
        <v>2019</v>
      </c>
      <c r="C1420" s="9">
        <v>43806</v>
      </c>
      <c r="D1420" t="s">
        <v>20</v>
      </c>
      <c r="E1420" t="s">
        <v>358</v>
      </c>
      <c r="F1420">
        <v>810</v>
      </c>
    </row>
    <row r="1421" spans="1:6">
      <c r="A1421" t="s">
        <v>1497</v>
      </c>
      <c r="B1421">
        <v>2019</v>
      </c>
      <c r="C1421" s="9">
        <v>43807</v>
      </c>
      <c r="D1421" t="s">
        <v>22</v>
      </c>
      <c r="E1421" t="s">
        <v>358</v>
      </c>
      <c r="F1421">
        <v>0</v>
      </c>
    </row>
    <row r="1422" spans="1:6">
      <c r="A1422" t="s">
        <v>1498</v>
      </c>
      <c r="B1422">
        <v>2019</v>
      </c>
      <c r="C1422" s="9">
        <v>43808</v>
      </c>
      <c r="D1422" t="s">
        <v>24</v>
      </c>
      <c r="E1422" t="s">
        <v>358</v>
      </c>
      <c r="F1422">
        <v>0</v>
      </c>
    </row>
    <row r="1423" spans="1:6">
      <c r="A1423" t="s">
        <v>1499</v>
      </c>
      <c r="B1423">
        <v>2019</v>
      </c>
      <c r="C1423" s="9">
        <v>43809</v>
      </c>
      <c r="D1423" t="s">
        <v>7</v>
      </c>
      <c r="E1423" t="s">
        <v>358</v>
      </c>
      <c r="F1423">
        <v>619</v>
      </c>
    </row>
    <row r="1424" spans="1:6">
      <c r="A1424" t="s">
        <v>1500</v>
      </c>
      <c r="B1424">
        <v>2019</v>
      </c>
      <c r="C1424" s="9">
        <v>43810</v>
      </c>
      <c r="D1424" t="s">
        <v>10</v>
      </c>
      <c r="E1424" t="s">
        <v>358</v>
      </c>
      <c r="F1424">
        <v>497</v>
      </c>
    </row>
    <row r="1425" spans="1:6">
      <c r="A1425" t="s">
        <v>1501</v>
      </c>
      <c r="B1425">
        <v>2019</v>
      </c>
      <c r="C1425" s="9">
        <v>43811</v>
      </c>
      <c r="D1425" t="s">
        <v>13</v>
      </c>
      <c r="E1425" t="s">
        <v>358</v>
      </c>
      <c r="F1425">
        <v>802</v>
      </c>
    </row>
    <row r="1426" spans="1:6">
      <c r="A1426" t="s">
        <v>1502</v>
      </c>
      <c r="B1426">
        <v>2019</v>
      </c>
      <c r="C1426" s="9">
        <v>43812</v>
      </c>
      <c r="D1426" t="s">
        <v>18</v>
      </c>
      <c r="E1426" t="s">
        <v>358</v>
      </c>
      <c r="F1426">
        <v>1042</v>
      </c>
    </row>
    <row r="1427" spans="1:6">
      <c r="A1427" t="s">
        <v>1503</v>
      </c>
      <c r="B1427">
        <v>2019</v>
      </c>
      <c r="C1427" s="9">
        <v>43813</v>
      </c>
      <c r="D1427" t="s">
        <v>20</v>
      </c>
      <c r="E1427" t="s">
        <v>358</v>
      </c>
      <c r="F1427">
        <v>995</v>
      </c>
    </row>
    <row r="1428" spans="1:6">
      <c r="A1428" t="s">
        <v>1504</v>
      </c>
      <c r="B1428">
        <v>2019</v>
      </c>
      <c r="C1428" s="9">
        <v>43814</v>
      </c>
      <c r="D1428" t="s">
        <v>22</v>
      </c>
      <c r="E1428" t="s">
        <v>358</v>
      </c>
      <c r="F1428">
        <v>0</v>
      </c>
    </row>
    <row r="1429" spans="1:6">
      <c r="A1429" t="s">
        <v>1505</v>
      </c>
      <c r="B1429">
        <v>2019</v>
      </c>
      <c r="C1429" s="9">
        <v>43815</v>
      </c>
      <c r="D1429" t="s">
        <v>24</v>
      </c>
      <c r="E1429" t="s">
        <v>358</v>
      </c>
      <c r="F1429">
        <v>0</v>
      </c>
    </row>
    <row r="1430" spans="1:6">
      <c r="A1430" t="s">
        <v>1506</v>
      </c>
      <c r="B1430">
        <v>2019</v>
      </c>
      <c r="C1430" s="9">
        <v>43816</v>
      </c>
      <c r="D1430" t="s">
        <v>7</v>
      </c>
      <c r="E1430" t="s">
        <v>358</v>
      </c>
      <c r="F1430">
        <v>1287.75</v>
      </c>
    </row>
    <row r="1431" spans="1:6">
      <c r="A1431" t="s">
        <v>1507</v>
      </c>
      <c r="B1431">
        <v>2019</v>
      </c>
      <c r="C1431" s="9">
        <v>43817</v>
      </c>
      <c r="D1431" t="s">
        <v>10</v>
      </c>
      <c r="E1431" t="s">
        <v>358</v>
      </c>
      <c r="F1431">
        <v>748</v>
      </c>
    </row>
    <row r="1432" spans="1:6">
      <c r="A1432" t="s">
        <v>1508</v>
      </c>
      <c r="B1432">
        <v>2019</v>
      </c>
      <c r="C1432" s="9">
        <v>43818</v>
      </c>
      <c r="D1432" t="s">
        <v>13</v>
      </c>
      <c r="E1432" t="s">
        <v>358</v>
      </c>
      <c r="F1432">
        <v>471</v>
      </c>
    </row>
    <row r="1433" spans="1:6">
      <c r="A1433" t="s">
        <v>1509</v>
      </c>
      <c r="B1433">
        <v>2019</v>
      </c>
      <c r="C1433" s="9">
        <v>43819</v>
      </c>
      <c r="D1433" t="s">
        <v>18</v>
      </c>
      <c r="E1433" t="s">
        <v>358</v>
      </c>
      <c r="F1433">
        <v>891</v>
      </c>
    </row>
    <row r="1434" spans="1:6">
      <c r="A1434" t="s">
        <v>1510</v>
      </c>
      <c r="B1434">
        <v>2019</v>
      </c>
      <c r="C1434" s="9">
        <v>43820</v>
      </c>
      <c r="D1434" t="s">
        <v>20</v>
      </c>
      <c r="E1434" t="s">
        <v>358</v>
      </c>
      <c r="F1434">
        <v>1341.75</v>
      </c>
    </row>
    <row r="1435" spans="1:6">
      <c r="A1435" t="s">
        <v>1511</v>
      </c>
      <c r="B1435">
        <v>2019</v>
      </c>
      <c r="C1435" s="9">
        <v>43821</v>
      </c>
      <c r="D1435" t="s">
        <v>22</v>
      </c>
      <c r="E1435" t="s">
        <v>358</v>
      </c>
      <c r="F1435">
        <v>0</v>
      </c>
    </row>
    <row r="1436" spans="1:6">
      <c r="A1436" t="s">
        <v>1512</v>
      </c>
      <c r="B1436">
        <v>2019</v>
      </c>
      <c r="C1436" s="9">
        <v>43822</v>
      </c>
      <c r="D1436" t="s">
        <v>24</v>
      </c>
      <c r="E1436" t="s">
        <v>358</v>
      </c>
      <c r="F1436">
        <v>581</v>
      </c>
    </row>
    <row r="1437" spans="1:6">
      <c r="A1437" t="s">
        <v>1513</v>
      </c>
      <c r="B1437">
        <v>2019</v>
      </c>
      <c r="C1437" s="9">
        <v>43823</v>
      </c>
      <c r="D1437" t="s">
        <v>7</v>
      </c>
      <c r="E1437" t="s">
        <v>358</v>
      </c>
      <c r="F1437">
        <v>819</v>
      </c>
    </row>
    <row r="1438" spans="1:6">
      <c r="A1438" t="s">
        <v>1514</v>
      </c>
      <c r="B1438">
        <v>2019</v>
      </c>
      <c r="C1438" s="9">
        <v>43824</v>
      </c>
      <c r="D1438" t="s">
        <v>10</v>
      </c>
      <c r="E1438" t="s">
        <v>358</v>
      </c>
      <c r="F1438">
        <v>0</v>
      </c>
    </row>
    <row r="1439" spans="1:6">
      <c r="A1439" t="s">
        <v>1515</v>
      </c>
      <c r="B1439">
        <v>2019</v>
      </c>
      <c r="C1439" s="9">
        <v>43825</v>
      </c>
      <c r="D1439" t="s">
        <v>13</v>
      </c>
      <c r="E1439" t="s">
        <v>358</v>
      </c>
      <c r="F1439">
        <v>588</v>
      </c>
    </row>
    <row r="1440" spans="1:6">
      <c r="A1440" t="s">
        <v>1516</v>
      </c>
      <c r="B1440">
        <v>2019</v>
      </c>
      <c r="C1440" s="9">
        <v>43826</v>
      </c>
      <c r="D1440" t="s">
        <v>18</v>
      </c>
      <c r="E1440" t="s">
        <v>358</v>
      </c>
      <c r="F1440">
        <v>910</v>
      </c>
    </row>
    <row r="1441" spans="1:6">
      <c r="A1441" t="s">
        <v>1517</v>
      </c>
      <c r="B1441">
        <v>2019</v>
      </c>
      <c r="C1441" s="9">
        <v>43827</v>
      </c>
      <c r="D1441" t="s">
        <v>20</v>
      </c>
      <c r="E1441" t="s">
        <v>358</v>
      </c>
      <c r="F1441">
        <v>809</v>
      </c>
    </row>
    <row r="1442" spans="1:6">
      <c r="A1442" t="s">
        <v>1518</v>
      </c>
      <c r="B1442">
        <v>2019</v>
      </c>
      <c r="C1442" s="9">
        <v>43828</v>
      </c>
      <c r="D1442" t="s">
        <v>22</v>
      </c>
      <c r="E1442" t="s">
        <v>358</v>
      </c>
      <c r="F1442">
        <v>0</v>
      </c>
    </row>
    <row r="1443" spans="1:6">
      <c r="A1443" t="s">
        <v>1519</v>
      </c>
      <c r="B1443">
        <v>2019</v>
      </c>
      <c r="C1443" s="9">
        <v>43829</v>
      </c>
      <c r="D1443" t="s">
        <v>24</v>
      </c>
      <c r="E1443" t="s">
        <v>358</v>
      </c>
      <c r="F1443">
        <v>0</v>
      </c>
    </row>
    <row r="1444" spans="1:6">
      <c r="A1444" t="s">
        <v>1520</v>
      </c>
      <c r="B1444">
        <v>2019</v>
      </c>
      <c r="C1444" s="9">
        <v>43830</v>
      </c>
      <c r="D1444" t="s">
        <v>7</v>
      </c>
      <c r="E1444" t="s">
        <v>358</v>
      </c>
      <c r="F1444">
        <v>487</v>
      </c>
    </row>
    <row r="1445" spans="1:6">
      <c r="A1445" t="s">
        <v>1521</v>
      </c>
      <c r="B1445">
        <v>2020</v>
      </c>
      <c r="C1445" s="9">
        <v>43831</v>
      </c>
      <c r="D1445" t="s">
        <v>10</v>
      </c>
      <c r="E1445" t="s">
        <v>15</v>
      </c>
      <c r="F1445">
        <v>0</v>
      </c>
    </row>
    <row r="1446" spans="1:6">
      <c r="A1446" t="s">
        <v>1522</v>
      </c>
      <c r="B1446">
        <v>2020</v>
      </c>
      <c r="C1446" s="9">
        <v>43832</v>
      </c>
      <c r="D1446" t="s">
        <v>13</v>
      </c>
      <c r="E1446" t="s">
        <v>15</v>
      </c>
      <c r="F1446">
        <v>0</v>
      </c>
    </row>
    <row r="1447" spans="1:6">
      <c r="A1447" t="s">
        <v>1523</v>
      </c>
      <c r="B1447">
        <v>2020</v>
      </c>
      <c r="C1447" s="9">
        <v>43833</v>
      </c>
      <c r="D1447" t="s">
        <v>18</v>
      </c>
      <c r="E1447" t="s">
        <v>15</v>
      </c>
      <c r="F1447">
        <v>491.5</v>
      </c>
    </row>
    <row r="1448" spans="1:6">
      <c r="A1448" t="s">
        <v>1524</v>
      </c>
      <c r="B1448">
        <v>2020</v>
      </c>
      <c r="C1448" s="9">
        <v>43834</v>
      </c>
      <c r="D1448" t="s">
        <v>20</v>
      </c>
      <c r="E1448" t="s">
        <v>15</v>
      </c>
      <c r="F1448">
        <v>279</v>
      </c>
    </row>
    <row r="1449" spans="1:6">
      <c r="A1449" t="s">
        <v>1525</v>
      </c>
      <c r="B1449">
        <v>2020</v>
      </c>
      <c r="C1449" s="9">
        <v>43835</v>
      </c>
      <c r="D1449" t="s">
        <v>22</v>
      </c>
      <c r="E1449" t="s">
        <v>15</v>
      </c>
      <c r="F1449">
        <v>0</v>
      </c>
    </row>
    <row r="1450" spans="1:6">
      <c r="A1450" t="s">
        <v>1526</v>
      </c>
      <c r="B1450">
        <v>2020</v>
      </c>
      <c r="C1450" s="9">
        <v>43836</v>
      </c>
      <c r="D1450" t="s">
        <v>24</v>
      </c>
      <c r="E1450" t="s">
        <v>15</v>
      </c>
      <c r="F1450">
        <v>0</v>
      </c>
    </row>
    <row r="1451" spans="1:6">
      <c r="A1451" t="s">
        <v>1527</v>
      </c>
      <c r="B1451">
        <v>2020</v>
      </c>
      <c r="C1451" s="9">
        <v>43837</v>
      </c>
      <c r="D1451" t="s">
        <v>7</v>
      </c>
      <c r="E1451" t="s">
        <v>15</v>
      </c>
      <c r="F1451">
        <v>442</v>
      </c>
    </row>
    <row r="1452" spans="1:6">
      <c r="A1452" t="s">
        <v>1528</v>
      </c>
      <c r="B1452">
        <v>2020</v>
      </c>
      <c r="C1452" s="9">
        <v>43838</v>
      </c>
      <c r="D1452" t="s">
        <v>10</v>
      </c>
      <c r="E1452" t="s">
        <v>15</v>
      </c>
      <c r="F1452">
        <v>427</v>
      </c>
    </row>
    <row r="1453" spans="1:6">
      <c r="A1453" t="s">
        <v>1529</v>
      </c>
      <c r="B1453">
        <v>2020</v>
      </c>
      <c r="C1453" s="9">
        <v>43839</v>
      </c>
      <c r="D1453" t="s">
        <v>13</v>
      </c>
      <c r="E1453" t="s">
        <v>15</v>
      </c>
      <c r="F1453">
        <v>153</v>
      </c>
    </row>
    <row r="1454" spans="1:6">
      <c r="A1454" t="s">
        <v>1530</v>
      </c>
      <c r="B1454">
        <v>2020</v>
      </c>
      <c r="C1454" s="9">
        <v>43840</v>
      </c>
      <c r="D1454" t="s">
        <v>18</v>
      </c>
      <c r="E1454" t="s">
        <v>15</v>
      </c>
      <c r="F1454">
        <v>899.5</v>
      </c>
    </row>
    <row r="1455" spans="1:6">
      <c r="A1455" t="s">
        <v>1531</v>
      </c>
      <c r="B1455">
        <v>2020</v>
      </c>
      <c r="C1455" s="9">
        <v>43841</v>
      </c>
      <c r="D1455" t="s">
        <v>20</v>
      </c>
      <c r="E1455" t="s">
        <v>15</v>
      </c>
      <c r="F1455">
        <v>683</v>
      </c>
    </row>
    <row r="1456" spans="1:6">
      <c r="A1456" t="s">
        <v>1532</v>
      </c>
      <c r="B1456">
        <v>2020</v>
      </c>
      <c r="C1456" s="9">
        <v>43842</v>
      </c>
      <c r="D1456" t="s">
        <v>22</v>
      </c>
      <c r="E1456" t="s">
        <v>15</v>
      </c>
      <c r="F1456">
        <v>0</v>
      </c>
    </row>
    <row r="1457" spans="1:6">
      <c r="A1457" t="s">
        <v>1533</v>
      </c>
      <c r="B1457">
        <v>2020</v>
      </c>
      <c r="C1457" s="9">
        <v>43843</v>
      </c>
      <c r="D1457" t="s">
        <v>24</v>
      </c>
      <c r="E1457" t="s">
        <v>15</v>
      </c>
      <c r="F1457">
        <v>0</v>
      </c>
    </row>
    <row r="1458" spans="1:6">
      <c r="A1458" t="s">
        <v>1534</v>
      </c>
      <c r="B1458">
        <v>2020</v>
      </c>
      <c r="C1458" s="9">
        <v>43844</v>
      </c>
      <c r="D1458" t="s">
        <v>7</v>
      </c>
      <c r="E1458" t="s">
        <v>15</v>
      </c>
      <c r="F1458">
        <v>448</v>
      </c>
    </row>
    <row r="1459" spans="1:6">
      <c r="A1459" t="s">
        <v>1535</v>
      </c>
      <c r="B1459">
        <v>2020</v>
      </c>
      <c r="C1459" s="9">
        <v>43845</v>
      </c>
      <c r="D1459" t="s">
        <v>10</v>
      </c>
      <c r="E1459" t="s">
        <v>15</v>
      </c>
      <c r="F1459">
        <v>218</v>
      </c>
    </row>
    <row r="1460" spans="1:6">
      <c r="A1460" t="s">
        <v>1536</v>
      </c>
      <c r="B1460">
        <v>2020</v>
      </c>
      <c r="C1460" s="9">
        <v>43846</v>
      </c>
      <c r="D1460" t="s">
        <v>13</v>
      </c>
      <c r="E1460" t="s">
        <v>15</v>
      </c>
      <c r="F1460">
        <v>500</v>
      </c>
    </row>
    <row r="1461" spans="1:6">
      <c r="A1461" t="s">
        <v>1537</v>
      </c>
      <c r="B1461">
        <v>2020</v>
      </c>
      <c r="C1461" s="9">
        <v>43847</v>
      </c>
      <c r="D1461" t="s">
        <v>18</v>
      </c>
      <c r="E1461" t="s">
        <v>15</v>
      </c>
      <c r="F1461">
        <v>712</v>
      </c>
    </row>
    <row r="1462" spans="1:6">
      <c r="A1462" t="s">
        <v>1538</v>
      </c>
      <c r="B1462">
        <v>2020</v>
      </c>
      <c r="C1462" s="9">
        <v>43848</v>
      </c>
      <c r="D1462" t="s">
        <v>20</v>
      </c>
      <c r="E1462" t="s">
        <v>15</v>
      </c>
      <c r="F1462">
        <v>321</v>
      </c>
    </row>
    <row r="1463" spans="1:6">
      <c r="A1463" t="s">
        <v>1539</v>
      </c>
      <c r="B1463">
        <v>2020</v>
      </c>
      <c r="C1463" s="9">
        <v>43849</v>
      </c>
      <c r="D1463" t="s">
        <v>22</v>
      </c>
      <c r="E1463" t="s">
        <v>15</v>
      </c>
      <c r="F1463">
        <v>0</v>
      </c>
    </row>
    <row r="1464" spans="1:6">
      <c r="A1464" t="s">
        <v>1540</v>
      </c>
      <c r="B1464">
        <v>2020</v>
      </c>
      <c r="C1464" s="9">
        <v>43850</v>
      </c>
      <c r="D1464" t="s">
        <v>24</v>
      </c>
      <c r="E1464" t="s">
        <v>15</v>
      </c>
      <c r="F1464">
        <v>0</v>
      </c>
    </row>
    <row r="1465" spans="1:6">
      <c r="A1465" t="s">
        <v>1541</v>
      </c>
      <c r="B1465">
        <v>2020</v>
      </c>
      <c r="C1465" s="9">
        <v>43851</v>
      </c>
      <c r="D1465" t="s">
        <v>7</v>
      </c>
      <c r="E1465" t="s">
        <v>15</v>
      </c>
      <c r="F1465">
        <v>479</v>
      </c>
    </row>
    <row r="1466" spans="1:6">
      <c r="A1466" t="s">
        <v>1542</v>
      </c>
      <c r="B1466">
        <v>2020</v>
      </c>
      <c r="C1466" s="9">
        <v>43852</v>
      </c>
      <c r="D1466" t="s">
        <v>10</v>
      </c>
      <c r="E1466" t="s">
        <v>15</v>
      </c>
      <c r="F1466">
        <v>537</v>
      </c>
    </row>
    <row r="1467" spans="1:6">
      <c r="A1467" t="s">
        <v>1543</v>
      </c>
      <c r="B1467">
        <v>2020</v>
      </c>
      <c r="C1467" s="9">
        <v>43853</v>
      </c>
      <c r="D1467" t="s">
        <v>13</v>
      </c>
      <c r="E1467" t="s">
        <v>15</v>
      </c>
      <c r="F1467">
        <v>347</v>
      </c>
    </row>
    <row r="1468" spans="1:6">
      <c r="A1468" t="s">
        <v>1544</v>
      </c>
      <c r="B1468">
        <v>2020</v>
      </c>
      <c r="C1468" s="9">
        <v>43854</v>
      </c>
      <c r="D1468" t="s">
        <v>18</v>
      </c>
      <c r="E1468" t="s">
        <v>15</v>
      </c>
      <c r="F1468">
        <v>352</v>
      </c>
    </row>
    <row r="1469" spans="1:6">
      <c r="A1469" t="s">
        <v>1545</v>
      </c>
      <c r="B1469">
        <v>2020</v>
      </c>
      <c r="C1469" s="9">
        <v>43855</v>
      </c>
      <c r="D1469" t="s">
        <v>20</v>
      </c>
      <c r="E1469" t="s">
        <v>15</v>
      </c>
      <c r="F1469">
        <v>716</v>
      </c>
    </row>
    <row r="1470" spans="1:6">
      <c r="A1470" t="s">
        <v>1546</v>
      </c>
      <c r="B1470">
        <v>2020</v>
      </c>
      <c r="C1470" s="9">
        <v>43856</v>
      </c>
      <c r="D1470" t="s">
        <v>22</v>
      </c>
      <c r="E1470" t="s">
        <v>15</v>
      </c>
      <c r="F1470">
        <v>0</v>
      </c>
    </row>
    <row r="1471" spans="1:6">
      <c r="A1471" t="s">
        <v>1547</v>
      </c>
      <c r="B1471">
        <v>2020</v>
      </c>
      <c r="C1471" s="9">
        <v>43857</v>
      </c>
      <c r="D1471" t="s">
        <v>24</v>
      </c>
      <c r="E1471" t="s">
        <v>15</v>
      </c>
      <c r="F1471">
        <v>0</v>
      </c>
    </row>
    <row r="1472" spans="1:6">
      <c r="A1472" t="s">
        <v>1548</v>
      </c>
      <c r="B1472">
        <v>2020</v>
      </c>
      <c r="C1472" s="9">
        <v>43858</v>
      </c>
      <c r="D1472" t="s">
        <v>7</v>
      </c>
      <c r="E1472" t="s">
        <v>15</v>
      </c>
      <c r="F1472">
        <v>433</v>
      </c>
    </row>
    <row r="1473" spans="1:6">
      <c r="A1473" t="s">
        <v>1549</v>
      </c>
      <c r="B1473">
        <v>2020</v>
      </c>
      <c r="C1473" s="9">
        <v>43859</v>
      </c>
      <c r="D1473" t="s">
        <v>10</v>
      </c>
      <c r="E1473" t="s">
        <v>15</v>
      </c>
      <c r="F1473">
        <v>492</v>
      </c>
    </row>
    <row r="1474" spans="1:6">
      <c r="A1474" t="s">
        <v>1550</v>
      </c>
      <c r="B1474">
        <v>2020</v>
      </c>
      <c r="C1474" s="9">
        <v>43860</v>
      </c>
      <c r="D1474" t="s">
        <v>13</v>
      </c>
      <c r="E1474" t="s">
        <v>15</v>
      </c>
      <c r="F1474">
        <v>812</v>
      </c>
    </row>
    <row r="1475" spans="1:6">
      <c r="A1475" t="s">
        <v>1551</v>
      </c>
      <c r="B1475">
        <v>2020</v>
      </c>
      <c r="C1475" s="9">
        <v>43861</v>
      </c>
      <c r="D1475" t="s">
        <v>18</v>
      </c>
      <c r="E1475" t="s">
        <v>15</v>
      </c>
      <c r="F1475">
        <v>688</v>
      </c>
    </row>
    <row r="1476" spans="1:6">
      <c r="A1476" t="s">
        <v>1552</v>
      </c>
      <c r="B1476">
        <v>2020</v>
      </c>
      <c r="C1476" s="9">
        <v>43862</v>
      </c>
      <c r="D1476" t="s">
        <v>20</v>
      </c>
      <c r="E1476" t="s">
        <v>51</v>
      </c>
      <c r="F1476">
        <v>897</v>
      </c>
    </row>
    <row r="1477" spans="1:6">
      <c r="A1477" t="s">
        <v>1553</v>
      </c>
      <c r="B1477">
        <v>2020</v>
      </c>
      <c r="C1477" s="9">
        <v>43863</v>
      </c>
      <c r="D1477" t="s">
        <v>22</v>
      </c>
      <c r="E1477" t="s">
        <v>51</v>
      </c>
      <c r="F1477">
        <v>0</v>
      </c>
    </row>
    <row r="1478" spans="1:6">
      <c r="A1478" t="s">
        <v>1554</v>
      </c>
      <c r="B1478">
        <v>2020</v>
      </c>
      <c r="C1478" s="9">
        <v>43864</v>
      </c>
      <c r="D1478" t="s">
        <v>24</v>
      </c>
      <c r="E1478" t="s">
        <v>51</v>
      </c>
      <c r="F1478">
        <v>0</v>
      </c>
    </row>
    <row r="1479" spans="1:6">
      <c r="A1479" t="s">
        <v>1555</v>
      </c>
      <c r="B1479">
        <v>2020</v>
      </c>
      <c r="C1479" s="9">
        <v>43865</v>
      </c>
      <c r="D1479" t="s">
        <v>7</v>
      </c>
      <c r="E1479" t="s">
        <v>51</v>
      </c>
      <c r="F1479">
        <v>465</v>
      </c>
    </row>
    <row r="1480" spans="1:6">
      <c r="A1480" t="s">
        <v>1556</v>
      </c>
      <c r="B1480">
        <v>2020</v>
      </c>
      <c r="C1480" s="9">
        <v>43866</v>
      </c>
      <c r="D1480" t="s">
        <v>10</v>
      </c>
      <c r="E1480" t="s">
        <v>51</v>
      </c>
      <c r="F1480">
        <v>494</v>
      </c>
    </row>
    <row r="1481" spans="1:6">
      <c r="A1481" t="s">
        <v>1557</v>
      </c>
      <c r="B1481">
        <v>2020</v>
      </c>
      <c r="C1481" s="9">
        <v>43867</v>
      </c>
      <c r="D1481" t="s">
        <v>13</v>
      </c>
      <c r="E1481" t="s">
        <v>51</v>
      </c>
      <c r="F1481">
        <v>450</v>
      </c>
    </row>
    <row r="1482" spans="1:6">
      <c r="A1482" t="s">
        <v>1558</v>
      </c>
      <c r="B1482">
        <v>2020</v>
      </c>
      <c r="C1482" s="9">
        <v>43868</v>
      </c>
      <c r="D1482" t="s">
        <v>18</v>
      </c>
      <c r="E1482" t="s">
        <v>51</v>
      </c>
      <c r="F1482">
        <v>756</v>
      </c>
    </row>
    <row r="1483" spans="1:6">
      <c r="A1483" t="s">
        <v>1559</v>
      </c>
      <c r="B1483">
        <v>2020</v>
      </c>
      <c r="C1483" s="9">
        <v>43869</v>
      </c>
      <c r="D1483" t="s">
        <v>20</v>
      </c>
      <c r="E1483" t="s">
        <v>51</v>
      </c>
      <c r="F1483">
        <v>567</v>
      </c>
    </row>
    <row r="1484" spans="1:6">
      <c r="A1484" t="s">
        <v>1560</v>
      </c>
      <c r="B1484">
        <v>2020</v>
      </c>
      <c r="C1484" s="9">
        <v>43870</v>
      </c>
      <c r="D1484" t="s">
        <v>22</v>
      </c>
      <c r="E1484" t="s">
        <v>51</v>
      </c>
      <c r="F1484">
        <v>0</v>
      </c>
    </row>
    <row r="1485" spans="1:6">
      <c r="A1485" t="s">
        <v>1561</v>
      </c>
      <c r="B1485">
        <v>2020</v>
      </c>
      <c r="C1485" s="9">
        <v>43871</v>
      </c>
      <c r="D1485" t="s">
        <v>24</v>
      </c>
      <c r="E1485" t="s">
        <v>51</v>
      </c>
      <c r="F1485">
        <v>0</v>
      </c>
    </row>
    <row r="1486" spans="1:6">
      <c r="A1486" t="s">
        <v>1562</v>
      </c>
      <c r="B1486">
        <v>2020</v>
      </c>
      <c r="C1486" s="9">
        <v>43872</v>
      </c>
      <c r="D1486" t="s">
        <v>7</v>
      </c>
      <c r="E1486" t="s">
        <v>51</v>
      </c>
      <c r="F1486">
        <v>526</v>
      </c>
    </row>
    <row r="1487" spans="1:6">
      <c r="A1487" t="s">
        <v>1563</v>
      </c>
      <c r="B1487">
        <v>2020</v>
      </c>
      <c r="C1487" s="9">
        <v>43873</v>
      </c>
      <c r="D1487" t="s">
        <v>10</v>
      </c>
      <c r="E1487" t="s">
        <v>51</v>
      </c>
      <c r="F1487">
        <v>471</v>
      </c>
    </row>
    <row r="1488" spans="1:6">
      <c r="A1488" t="s">
        <v>1564</v>
      </c>
      <c r="B1488">
        <v>2020</v>
      </c>
      <c r="C1488" s="9">
        <v>43874</v>
      </c>
      <c r="D1488" t="s">
        <v>13</v>
      </c>
      <c r="E1488" t="s">
        <v>51</v>
      </c>
      <c r="F1488">
        <v>729</v>
      </c>
    </row>
    <row r="1489" spans="1:6">
      <c r="A1489" t="s">
        <v>1565</v>
      </c>
      <c r="B1489">
        <v>2020</v>
      </c>
      <c r="C1489" s="9">
        <v>43875</v>
      </c>
      <c r="D1489" t="s">
        <v>18</v>
      </c>
      <c r="E1489" t="s">
        <v>51</v>
      </c>
      <c r="F1489">
        <v>615</v>
      </c>
    </row>
    <row r="1490" spans="1:6">
      <c r="A1490" t="s">
        <v>1566</v>
      </c>
      <c r="B1490">
        <v>2020</v>
      </c>
      <c r="C1490" s="9">
        <v>43876</v>
      </c>
      <c r="D1490" t="s">
        <v>20</v>
      </c>
      <c r="E1490" t="s">
        <v>51</v>
      </c>
      <c r="F1490">
        <v>570</v>
      </c>
    </row>
    <row r="1491" spans="1:6">
      <c r="A1491" t="s">
        <v>1567</v>
      </c>
      <c r="B1491">
        <v>2020</v>
      </c>
      <c r="C1491" s="9">
        <v>43877</v>
      </c>
      <c r="D1491" t="s">
        <v>22</v>
      </c>
      <c r="E1491" t="s">
        <v>51</v>
      </c>
      <c r="F1491">
        <v>0</v>
      </c>
    </row>
    <row r="1492" spans="1:6">
      <c r="A1492" t="s">
        <v>1568</v>
      </c>
      <c r="B1492">
        <v>2020</v>
      </c>
      <c r="C1492" s="9">
        <v>43878</v>
      </c>
      <c r="D1492" t="s">
        <v>24</v>
      </c>
      <c r="E1492" t="s">
        <v>51</v>
      </c>
      <c r="F1492">
        <v>0</v>
      </c>
    </row>
    <row r="1493" spans="1:6">
      <c r="A1493" t="s">
        <v>1569</v>
      </c>
      <c r="B1493">
        <v>2020</v>
      </c>
      <c r="C1493" s="9">
        <v>43879</v>
      </c>
      <c r="D1493" t="s">
        <v>7</v>
      </c>
      <c r="E1493" t="s">
        <v>51</v>
      </c>
      <c r="F1493">
        <v>438</v>
      </c>
    </row>
    <row r="1494" spans="1:6">
      <c r="A1494" t="s">
        <v>1570</v>
      </c>
      <c r="B1494">
        <v>2020</v>
      </c>
      <c r="C1494" s="9">
        <v>43880</v>
      </c>
      <c r="D1494" t="s">
        <v>10</v>
      </c>
      <c r="E1494" t="s">
        <v>51</v>
      </c>
      <c r="F1494">
        <v>233</v>
      </c>
    </row>
    <row r="1495" spans="1:6">
      <c r="A1495" t="s">
        <v>1571</v>
      </c>
      <c r="B1495">
        <v>2020</v>
      </c>
      <c r="C1495" s="9">
        <v>43881</v>
      </c>
      <c r="D1495" t="s">
        <v>13</v>
      </c>
      <c r="E1495" t="s">
        <v>51</v>
      </c>
      <c r="F1495">
        <v>496</v>
      </c>
    </row>
    <row r="1496" spans="1:6">
      <c r="A1496" t="s">
        <v>1572</v>
      </c>
      <c r="B1496">
        <v>2020</v>
      </c>
      <c r="C1496" s="9">
        <v>43882</v>
      </c>
      <c r="D1496" t="s">
        <v>18</v>
      </c>
      <c r="E1496" t="s">
        <v>51</v>
      </c>
      <c r="F1496">
        <v>721</v>
      </c>
    </row>
    <row r="1497" spans="1:6">
      <c r="A1497" t="s">
        <v>1573</v>
      </c>
      <c r="B1497">
        <v>2020</v>
      </c>
      <c r="C1497" s="9">
        <v>43883</v>
      </c>
      <c r="D1497" t="s">
        <v>20</v>
      </c>
      <c r="E1497" t="s">
        <v>51</v>
      </c>
      <c r="F1497">
        <v>722</v>
      </c>
    </row>
    <row r="1498" spans="1:6">
      <c r="A1498" t="s">
        <v>1574</v>
      </c>
      <c r="B1498">
        <v>2020</v>
      </c>
      <c r="C1498" s="9">
        <v>43884</v>
      </c>
      <c r="D1498" t="s">
        <v>22</v>
      </c>
      <c r="E1498" t="s">
        <v>51</v>
      </c>
      <c r="F1498">
        <v>0</v>
      </c>
    </row>
    <row r="1499" spans="1:6">
      <c r="A1499" t="s">
        <v>1575</v>
      </c>
      <c r="B1499">
        <v>2020</v>
      </c>
      <c r="C1499" s="9">
        <v>43885</v>
      </c>
      <c r="D1499" t="s">
        <v>24</v>
      </c>
      <c r="E1499" t="s">
        <v>51</v>
      </c>
      <c r="F1499">
        <v>0</v>
      </c>
    </row>
    <row r="1500" spans="1:6">
      <c r="A1500" t="s">
        <v>1576</v>
      </c>
      <c r="B1500">
        <v>2020</v>
      </c>
      <c r="C1500" s="9">
        <v>43886</v>
      </c>
      <c r="D1500" t="s">
        <v>7</v>
      </c>
      <c r="E1500" t="s">
        <v>51</v>
      </c>
      <c r="F1500">
        <v>609</v>
      </c>
    </row>
    <row r="1501" spans="1:6">
      <c r="A1501" t="s">
        <v>1577</v>
      </c>
      <c r="B1501">
        <v>2020</v>
      </c>
      <c r="C1501" s="9">
        <v>43887</v>
      </c>
      <c r="D1501" t="s">
        <v>10</v>
      </c>
      <c r="E1501" t="s">
        <v>51</v>
      </c>
      <c r="F1501">
        <v>514</v>
      </c>
    </row>
    <row r="1502" spans="1:6">
      <c r="A1502" t="s">
        <v>1578</v>
      </c>
      <c r="B1502">
        <v>2020</v>
      </c>
      <c r="C1502" s="9">
        <v>43888</v>
      </c>
      <c r="D1502" t="s">
        <v>13</v>
      </c>
      <c r="E1502" t="s">
        <v>51</v>
      </c>
      <c r="F1502">
        <v>571</v>
      </c>
    </row>
    <row r="1503" spans="1:6">
      <c r="A1503" t="s">
        <v>1579</v>
      </c>
      <c r="B1503">
        <v>2020</v>
      </c>
      <c r="C1503" s="9">
        <v>43889</v>
      </c>
      <c r="D1503" t="s">
        <v>18</v>
      </c>
      <c r="E1503" t="s">
        <v>51</v>
      </c>
      <c r="F1503">
        <v>913</v>
      </c>
    </row>
    <row r="1504" spans="1:6">
      <c r="A1504" t="s">
        <v>1580</v>
      </c>
      <c r="B1504">
        <v>2020</v>
      </c>
      <c r="C1504" s="9">
        <v>43890</v>
      </c>
      <c r="D1504" t="s">
        <v>20</v>
      </c>
      <c r="E1504" t="s">
        <v>51</v>
      </c>
      <c r="F1504">
        <v>628</v>
      </c>
    </row>
    <row r="1505" spans="1:6">
      <c r="A1505" t="s">
        <v>1581</v>
      </c>
      <c r="B1505">
        <v>2020</v>
      </c>
      <c r="C1505" s="9">
        <v>43891</v>
      </c>
      <c r="D1505" t="s">
        <v>22</v>
      </c>
      <c r="E1505" t="s">
        <v>80</v>
      </c>
      <c r="F1505">
        <v>0</v>
      </c>
    </row>
    <row r="1506" spans="1:6">
      <c r="A1506" t="s">
        <v>1582</v>
      </c>
      <c r="B1506">
        <v>2020</v>
      </c>
      <c r="C1506" s="9">
        <v>43892</v>
      </c>
      <c r="D1506" t="s">
        <v>24</v>
      </c>
      <c r="E1506" t="s">
        <v>80</v>
      </c>
      <c r="F1506">
        <v>0</v>
      </c>
    </row>
    <row r="1507" spans="1:6">
      <c r="A1507" t="s">
        <v>1583</v>
      </c>
      <c r="B1507">
        <v>2020</v>
      </c>
      <c r="C1507" s="9">
        <v>43893</v>
      </c>
      <c r="D1507" t="s">
        <v>7</v>
      </c>
      <c r="E1507" t="s">
        <v>80</v>
      </c>
      <c r="F1507">
        <v>396</v>
      </c>
    </row>
    <row r="1508" spans="1:6">
      <c r="A1508" t="s">
        <v>1584</v>
      </c>
      <c r="B1508">
        <v>2020</v>
      </c>
      <c r="C1508" s="9">
        <v>43894</v>
      </c>
      <c r="D1508" t="s">
        <v>10</v>
      </c>
      <c r="E1508" t="s">
        <v>80</v>
      </c>
      <c r="F1508">
        <v>394</v>
      </c>
    </row>
    <row r="1509" spans="1:6">
      <c r="A1509" t="s">
        <v>1585</v>
      </c>
      <c r="B1509">
        <v>2020</v>
      </c>
      <c r="C1509" s="9">
        <v>43895</v>
      </c>
      <c r="D1509" t="s">
        <v>13</v>
      </c>
      <c r="E1509" t="s">
        <v>80</v>
      </c>
      <c r="F1509">
        <v>426</v>
      </c>
    </row>
    <row r="1510" spans="1:6">
      <c r="A1510" t="s">
        <v>1586</v>
      </c>
      <c r="B1510">
        <v>2020</v>
      </c>
      <c r="C1510" s="9">
        <v>43896</v>
      </c>
      <c r="D1510" t="s">
        <v>18</v>
      </c>
      <c r="E1510" t="s">
        <v>80</v>
      </c>
      <c r="F1510">
        <v>463</v>
      </c>
    </row>
    <row r="1511" spans="1:6">
      <c r="A1511" t="s">
        <v>1587</v>
      </c>
      <c r="B1511">
        <v>2020</v>
      </c>
      <c r="C1511" s="9">
        <v>43897</v>
      </c>
      <c r="D1511" t="s">
        <v>20</v>
      </c>
      <c r="E1511" t="s">
        <v>80</v>
      </c>
      <c r="F1511">
        <v>702</v>
      </c>
    </row>
    <row r="1512" spans="1:6">
      <c r="A1512" t="s">
        <v>1588</v>
      </c>
      <c r="B1512">
        <v>2020</v>
      </c>
      <c r="C1512" s="9">
        <v>43898</v>
      </c>
      <c r="D1512" t="s">
        <v>22</v>
      </c>
      <c r="E1512" t="s">
        <v>80</v>
      </c>
      <c r="F1512">
        <v>0</v>
      </c>
    </row>
    <row r="1513" spans="1:6">
      <c r="A1513" t="s">
        <v>1589</v>
      </c>
      <c r="B1513">
        <v>2020</v>
      </c>
      <c r="C1513" s="9">
        <v>43899</v>
      </c>
      <c r="D1513" t="s">
        <v>24</v>
      </c>
      <c r="E1513" t="s">
        <v>80</v>
      </c>
      <c r="F1513">
        <v>0</v>
      </c>
    </row>
    <row r="1514" spans="1:6">
      <c r="A1514" t="s">
        <v>1590</v>
      </c>
      <c r="B1514">
        <v>2020</v>
      </c>
      <c r="C1514" s="9">
        <v>43900</v>
      </c>
      <c r="D1514" t="s">
        <v>7</v>
      </c>
      <c r="E1514" t="s">
        <v>80</v>
      </c>
      <c r="F1514">
        <v>573</v>
      </c>
    </row>
    <row r="1515" spans="1:6">
      <c r="A1515" t="s">
        <v>1591</v>
      </c>
      <c r="B1515">
        <v>2020</v>
      </c>
      <c r="C1515" s="9">
        <v>43901</v>
      </c>
      <c r="D1515" t="s">
        <v>10</v>
      </c>
      <c r="E1515" t="s">
        <v>80</v>
      </c>
      <c r="F1515">
        <v>511</v>
      </c>
    </row>
    <row r="1516" spans="1:6">
      <c r="A1516" t="s">
        <v>1592</v>
      </c>
      <c r="B1516">
        <v>2020</v>
      </c>
      <c r="C1516" s="9">
        <v>43902</v>
      </c>
      <c r="D1516" t="s">
        <v>13</v>
      </c>
      <c r="E1516" t="s">
        <v>80</v>
      </c>
      <c r="F1516">
        <v>669</v>
      </c>
    </row>
    <row r="1517" spans="1:6">
      <c r="A1517" t="s">
        <v>1593</v>
      </c>
      <c r="B1517">
        <v>2020</v>
      </c>
      <c r="C1517" s="9">
        <v>43903</v>
      </c>
      <c r="D1517" t="s">
        <v>18</v>
      </c>
      <c r="E1517" t="s">
        <v>80</v>
      </c>
      <c r="F1517">
        <v>668</v>
      </c>
    </row>
    <row r="1518" spans="1:6">
      <c r="A1518" t="s">
        <v>1594</v>
      </c>
      <c r="B1518">
        <v>2020</v>
      </c>
      <c r="C1518" s="9">
        <v>43904</v>
      </c>
      <c r="D1518" t="s">
        <v>20</v>
      </c>
      <c r="E1518" t="s">
        <v>80</v>
      </c>
      <c r="F1518">
        <v>440</v>
      </c>
    </row>
    <row r="1519" spans="1:6">
      <c r="A1519" t="s">
        <v>1595</v>
      </c>
      <c r="B1519">
        <v>2020</v>
      </c>
      <c r="C1519" s="9">
        <v>43905</v>
      </c>
      <c r="D1519" t="s">
        <v>22</v>
      </c>
      <c r="E1519" t="s">
        <v>80</v>
      </c>
      <c r="F1519">
        <v>0</v>
      </c>
    </row>
    <row r="1520" spans="1:6">
      <c r="A1520" t="s">
        <v>1596</v>
      </c>
      <c r="B1520">
        <v>2020</v>
      </c>
      <c r="C1520" s="9">
        <v>43906</v>
      </c>
      <c r="D1520" t="s">
        <v>24</v>
      </c>
      <c r="E1520" t="s">
        <v>80</v>
      </c>
      <c r="F1520">
        <v>0</v>
      </c>
    </row>
    <row r="1521" spans="1:6">
      <c r="A1521" t="s">
        <v>1597</v>
      </c>
      <c r="B1521">
        <v>2020</v>
      </c>
      <c r="C1521" s="9">
        <v>43907</v>
      </c>
      <c r="D1521" t="s">
        <v>7</v>
      </c>
      <c r="E1521" t="s">
        <v>80</v>
      </c>
      <c r="F1521">
        <v>0</v>
      </c>
    </row>
    <row r="1522" spans="1:6">
      <c r="A1522" t="s">
        <v>1598</v>
      </c>
      <c r="B1522">
        <v>2020</v>
      </c>
      <c r="C1522" s="9">
        <v>43908</v>
      </c>
      <c r="D1522" t="s">
        <v>10</v>
      </c>
      <c r="E1522" t="s">
        <v>80</v>
      </c>
      <c r="F1522">
        <v>0</v>
      </c>
    </row>
    <row r="1523" spans="1:6">
      <c r="A1523" t="s">
        <v>1599</v>
      </c>
      <c r="B1523">
        <v>2020</v>
      </c>
      <c r="C1523" s="9">
        <v>43909</v>
      </c>
      <c r="D1523" t="s">
        <v>13</v>
      </c>
      <c r="E1523" t="s">
        <v>80</v>
      </c>
      <c r="F1523">
        <v>0</v>
      </c>
    </row>
    <row r="1524" spans="1:6">
      <c r="A1524" t="s">
        <v>1600</v>
      </c>
      <c r="B1524">
        <v>2020</v>
      </c>
      <c r="C1524" s="9">
        <v>43910</v>
      </c>
      <c r="D1524" t="s">
        <v>18</v>
      </c>
      <c r="E1524" t="s">
        <v>80</v>
      </c>
      <c r="F1524">
        <v>0</v>
      </c>
    </row>
    <row r="1525" spans="1:6">
      <c r="A1525" t="s">
        <v>1601</v>
      </c>
      <c r="B1525">
        <v>2020</v>
      </c>
      <c r="C1525" s="9">
        <v>43911</v>
      </c>
      <c r="D1525" t="s">
        <v>20</v>
      </c>
      <c r="E1525" t="s">
        <v>80</v>
      </c>
      <c r="F1525">
        <v>0</v>
      </c>
    </row>
    <row r="1526" spans="1:6">
      <c r="A1526" t="s">
        <v>1602</v>
      </c>
      <c r="B1526">
        <v>2020</v>
      </c>
      <c r="C1526" s="9">
        <v>43912</v>
      </c>
      <c r="D1526" t="s">
        <v>22</v>
      </c>
      <c r="E1526" t="s">
        <v>80</v>
      </c>
      <c r="F1526">
        <v>0</v>
      </c>
    </row>
    <row r="1527" spans="1:6">
      <c r="A1527" t="s">
        <v>1603</v>
      </c>
      <c r="B1527">
        <v>2020</v>
      </c>
      <c r="C1527" s="9">
        <v>43913</v>
      </c>
      <c r="D1527" t="s">
        <v>24</v>
      </c>
      <c r="E1527" t="s">
        <v>80</v>
      </c>
      <c r="F1527">
        <v>0</v>
      </c>
    </row>
    <row r="1528" spans="1:6">
      <c r="A1528" t="s">
        <v>1604</v>
      </c>
      <c r="B1528">
        <v>2020</v>
      </c>
      <c r="C1528" s="9">
        <v>43914</v>
      </c>
      <c r="D1528" t="s">
        <v>7</v>
      </c>
      <c r="E1528" t="s">
        <v>80</v>
      </c>
      <c r="F1528">
        <v>0</v>
      </c>
    </row>
    <row r="1529" spans="1:6">
      <c r="A1529" t="s">
        <v>1605</v>
      </c>
      <c r="B1529">
        <v>2020</v>
      </c>
      <c r="C1529" s="9">
        <v>43915</v>
      </c>
      <c r="D1529" t="s">
        <v>10</v>
      </c>
      <c r="E1529" t="s">
        <v>80</v>
      </c>
      <c r="F1529">
        <v>0</v>
      </c>
    </row>
    <row r="1530" spans="1:6">
      <c r="A1530" t="s">
        <v>1606</v>
      </c>
      <c r="B1530">
        <v>2020</v>
      </c>
      <c r="C1530" s="9">
        <v>43916</v>
      </c>
      <c r="D1530" t="s">
        <v>13</v>
      </c>
      <c r="E1530" t="s">
        <v>80</v>
      </c>
      <c r="F1530">
        <v>0</v>
      </c>
    </row>
    <row r="1531" spans="1:6">
      <c r="A1531" t="s">
        <v>1607</v>
      </c>
      <c r="B1531">
        <v>2020</v>
      </c>
      <c r="C1531" s="9">
        <v>43917</v>
      </c>
      <c r="D1531" t="s">
        <v>18</v>
      </c>
      <c r="E1531" t="s">
        <v>80</v>
      </c>
      <c r="F1531">
        <v>0</v>
      </c>
    </row>
    <row r="1532" spans="1:6">
      <c r="A1532" t="s">
        <v>1608</v>
      </c>
      <c r="B1532">
        <v>2020</v>
      </c>
      <c r="C1532" s="9">
        <v>43918</v>
      </c>
      <c r="D1532" t="s">
        <v>20</v>
      </c>
      <c r="E1532" t="s">
        <v>80</v>
      </c>
      <c r="F1532">
        <v>0</v>
      </c>
    </row>
    <row r="1533" spans="1:6">
      <c r="A1533" t="s">
        <v>1609</v>
      </c>
      <c r="B1533">
        <v>2020</v>
      </c>
      <c r="C1533" s="9">
        <v>43919</v>
      </c>
      <c r="D1533" t="s">
        <v>22</v>
      </c>
      <c r="E1533" t="s">
        <v>80</v>
      </c>
      <c r="F1533">
        <v>0</v>
      </c>
    </row>
    <row r="1534" spans="1:6">
      <c r="A1534" t="s">
        <v>1610</v>
      </c>
      <c r="B1534">
        <v>2020</v>
      </c>
      <c r="C1534" s="9">
        <v>43920</v>
      </c>
      <c r="D1534" t="s">
        <v>24</v>
      </c>
      <c r="E1534" t="s">
        <v>80</v>
      </c>
      <c r="F1534">
        <v>0</v>
      </c>
    </row>
    <row r="1535" spans="1:6">
      <c r="A1535" t="s">
        <v>1611</v>
      </c>
      <c r="B1535">
        <v>2020</v>
      </c>
      <c r="C1535" s="9">
        <v>43921</v>
      </c>
      <c r="D1535" t="s">
        <v>7</v>
      </c>
      <c r="E1535" t="s">
        <v>80</v>
      </c>
      <c r="F1535">
        <v>0</v>
      </c>
    </row>
    <row r="1536" spans="1:6">
      <c r="A1536" t="s">
        <v>1612</v>
      </c>
      <c r="B1536">
        <v>2020</v>
      </c>
      <c r="C1536" s="9">
        <v>43922</v>
      </c>
      <c r="D1536" t="s">
        <v>10</v>
      </c>
      <c r="E1536" t="s">
        <v>112</v>
      </c>
      <c r="F1536">
        <v>0</v>
      </c>
    </row>
    <row r="1537" spans="1:6">
      <c r="A1537" t="s">
        <v>1613</v>
      </c>
      <c r="B1537">
        <v>2020</v>
      </c>
      <c r="C1537" s="9">
        <v>43923</v>
      </c>
      <c r="D1537" t="s">
        <v>13</v>
      </c>
      <c r="E1537" t="s">
        <v>112</v>
      </c>
      <c r="F1537">
        <v>0</v>
      </c>
    </row>
    <row r="1538" spans="1:6">
      <c r="A1538" t="s">
        <v>1614</v>
      </c>
      <c r="B1538">
        <v>2020</v>
      </c>
      <c r="C1538" s="9">
        <v>43924</v>
      </c>
      <c r="D1538" t="s">
        <v>18</v>
      </c>
      <c r="E1538" t="s">
        <v>112</v>
      </c>
      <c r="F1538">
        <v>0</v>
      </c>
    </row>
    <row r="1539" spans="1:6">
      <c r="A1539" t="s">
        <v>1615</v>
      </c>
      <c r="B1539">
        <v>2020</v>
      </c>
      <c r="C1539" s="9">
        <v>43925</v>
      </c>
      <c r="D1539" t="s">
        <v>20</v>
      </c>
      <c r="E1539" t="s">
        <v>112</v>
      </c>
      <c r="F1539">
        <v>0</v>
      </c>
    </row>
    <row r="1540" spans="1:6">
      <c r="A1540" t="s">
        <v>1616</v>
      </c>
      <c r="B1540">
        <v>2020</v>
      </c>
      <c r="C1540" s="9">
        <v>43926</v>
      </c>
      <c r="D1540" t="s">
        <v>22</v>
      </c>
      <c r="E1540" t="s">
        <v>112</v>
      </c>
      <c r="F1540">
        <v>0</v>
      </c>
    </row>
    <row r="1541" spans="1:6">
      <c r="A1541" t="s">
        <v>1617</v>
      </c>
      <c r="B1541">
        <v>2020</v>
      </c>
      <c r="C1541" s="9">
        <v>43927</v>
      </c>
      <c r="D1541" t="s">
        <v>24</v>
      </c>
      <c r="E1541" t="s">
        <v>112</v>
      </c>
      <c r="F1541">
        <v>0</v>
      </c>
    </row>
    <row r="1542" spans="1:6">
      <c r="A1542" t="s">
        <v>1618</v>
      </c>
      <c r="B1542">
        <v>2020</v>
      </c>
      <c r="C1542" s="9">
        <v>43928</v>
      </c>
      <c r="D1542" t="s">
        <v>7</v>
      </c>
      <c r="E1542" t="s">
        <v>112</v>
      </c>
      <c r="F1542">
        <v>0</v>
      </c>
    </row>
    <row r="1543" spans="1:6">
      <c r="A1543" t="s">
        <v>1619</v>
      </c>
      <c r="B1543">
        <v>2020</v>
      </c>
      <c r="C1543" s="9">
        <v>43929</v>
      </c>
      <c r="D1543" t="s">
        <v>10</v>
      </c>
      <c r="E1543" t="s">
        <v>112</v>
      </c>
      <c r="F1543">
        <v>0</v>
      </c>
    </row>
    <row r="1544" spans="1:6">
      <c r="A1544" t="s">
        <v>1620</v>
      </c>
      <c r="B1544">
        <v>2020</v>
      </c>
      <c r="C1544" s="9">
        <v>43930</v>
      </c>
      <c r="D1544" t="s">
        <v>13</v>
      </c>
      <c r="E1544" t="s">
        <v>112</v>
      </c>
      <c r="F1544">
        <v>0</v>
      </c>
    </row>
    <row r="1545" spans="1:6">
      <c r="A1545" t="s">
        <v>1621</v>
      </c>
      <c r="B1545">
        <v>2020</v>
      </c>
      <c r="C1545" s="9">
        <v>43931</v>
      </c>
      <c r="D1545" t="s">
        <v>18</v>
      </c>
      <c r="E1545" t="s">
        <v>112</v>
      </c>
      <c r="F1545">
        <v>0</v>
      </c>
    </row>
    <row r="1546" spans="1:6">
      <c r="A1546" t="s">
        <v>1622</v>
      </c>
      <c r="B1546">
        <v>2020</v>
      </c>
      <c r="C1546" s="9">
        <v>43932</v>
      </c>
      <c r="D1546" t="s">
        <v>20</v>
      </c>
      <c r="E1546" t="s">
        <v>112</v>
      </c>
      <c r="F1546">
        <v>0</v>
      </c>
    </row>
    <row r="1547" spans="1:6">
      <c r="A1547" t="s">
        <v>1623</v>
      </c>
      <c r="B1547">
        <v>2020</v>
      </c>
      <c r="C1547" s="9">
        <v>43933</v>
      </c>
      <c r="D1547" t="s">
        <v>22</v>
      </c>
      <c r="E1547" t="s">
        <v>112</v>
      </c>
      <c r="F1547">
        <v>0</v>
      </c>
    </row>
    <row r="1548" spans="1:6">
      <c r="A1548" t="s">
        <v>1624</v>
      </c>
      <c r="B1548">
        <v>2020</v>
      </c>
      <c r="C1548" s="9">
        <v>43934</v>
      </c>
      <c r="D1548" t="s">
        <v>24</v>
      </c>
      <c r="E1548" t="s">
        <v>112</v>
      </c>
      <c r="F1548">
        <v>0</v>
      </c>
    </row>
    <row r="1549" spans="1:6">
      <c r="A1549" t="s">
        <v>1625</v>
      </c>
      <c r="B1549">
        <v>2020</v>
      </c>
      <c r="C1549" s="9">
        <v>43935</v>
      </c>
      <c r="D1549" t="s">
        <v>7</v>
      </c>
      <c r="E1549" t="s">
        <v>112</v>
      </c>
      <c r="F1549">
        <v>0</v>
      </c>
    </row>
    <row r="1550" spans="1:6">
      <c r="A1550" t="s">
        <v>1626</v>
      </c>
      <c r="B1550">
        <v>2020</v>
      </c>
      <c r="C1550" s="9">
        <v>43936</v>
      </c>
      <c r="D1550" t="s">
        <v>10</v>
      </c>
      <c r="E1550" t="s">
        <v>112</v>
      </c>
      <c r="F1550">
        <v>0</v>
      </c>
    </row>
    <row r="1551" spans="1:6">
      <c r="A1551" t="s">
        <v>1627</v>
      </c>
      <c r="B1551">
        <v>2020</v>
      </c>
      <c r="C1551" s="9">
        <v>43937</v>
      </c>
      <c r="D1551" t="s">
        <v>13</v>
      </c>
      <c r="E1551" t="s">
        <v>112</v>
      </c>
      <c r="F1551">
        <v>0</v>
      </c>
    </row>
    <row r="1552" spans="1:6">
      <c r="A1552" t="s">
        <v>1628</v>
      </c>
      <c r="B1552">
        <v>2020</v>
      </c>
      <c r="C1552" s="9">
        <v>43938</v>
      </c>
      <c r="D1552" t="s">
        <v>18</v>
      </c>
      <c r="E1552" t="s">
        <v>112</v>
      </c>
      <c r="F1552">
        <v>0</v>
      </c>
    </row>
    <row r="1553" spans="1:6">
      <c r="A1553" t="s">
        <v>1629</v>
      </c>
      <c r="B1553">
        <v>2020</v>
      </c>
      <c r="C1553" s="9">
        <v>43939</v>
      </c>
      <c r="D1553" t="s">
        <v>20</v>
      </c>
      <c r="E1553" t="s">
        <v>112</v>
      </c>
      <c r="F1553">
        <v>0</v>
      </c>
    </row>
    <row r="1554" spans="1:6">
      <c r="A1554" t="s">
        <v>1630</v>
      </c>
      <c r="B1554">
        <v>2020</v>
      </c>
      <c r="C1554" s="9">
        <v>43940</v>
      </c>
      <c r="D1554" t="s">
        <v>22</v>
      </c>
      <c r="E1554" t="s">
        <v>112</v>
      </c>
      <c r="F1554">
        <v>0</v>
      </c>
    </row>
    <row r="1555" spans="1:6">
      <c r="A1555" t="s">
        <v>1631</v>
      </c>
      <c r="B1555">
        <v>2020</v>
      </c>
      <c r="C1555" s="9">
        <v>43941</v>
      </c>
      <c r="D1555" t="s">
        <v>24</v>
      </c>
      <c r="E1555" t="s">
        <v>112</v>
      </c>
      <c r="F1555">
        <v>0</v>
      </c>
    </row>
    <row r="1556" spans="1:6">
      <c r="A1556" t="s">
        <v>1632</v>
      </c>
      <c r="B1556">
        <v>2020</v>
      </c>
      <c r="C1556" s="9">
        <v>43942</v>
      </c>
      <c r="D1556" t="s">
        <v>7</v>
      </c>
      <c r="E1556" t="s">
        <v>112</v>
      </c>
      <c r="F1556">
        <v>0</v>
      </c>
    </row>
    <row r="1557" spans="1:6">
      <c r="A1557" t="s">
        <v>1633</v>
      </c>
      <c r="B1557">
        <v>2020</v>
      </c>
      <c r="C1557" s="9">
        <v>43943</v>
      </c>
      <c r="D1557" t="s">
        <v>10</v>
      </c>
      <c r="E1557" t="s">
        <v>112</v>
      </c>
      <c r="F1557">
        <v>0</v>
      </c>
    </row>
    <row r="1558" spans="1:6">
      <c r="A1558" t="s">
        <v>1634</v>
      </c>
      <c r="B1558">
        <v>2020</v>
      </c>
      <c r="C1558" s="9">
        <v>43944</v>
      </c>
      <c r="D1558" t="s">
        <v>13</v>
      </c>
      <c r="E1558" t="s">
        <v>112</v>
      </c>
      <c r="F1558">
        <v>0</v>
      </c>
    </row>
    <row r="1559" spans="1:6">
      <c r="A1559" t="s">
        <v>1635</v>
      </c>
      <c r="B1559">
        <v>2020</v>
      </c>
      <c r="C1559" s="9">
        <v>43945</v>
      </c>
      <c r="D1559" t="s">
        <v>18</v>
      </c>
      <c r="E1559" t="s">
        <v>112</v>
      </c>
      <c r="F1559">
        <v>0</v>
      </c>
    </row>
    <row r="1560" spans="1:6">
      <c r="A1560" t="s">
        <v>1636</v>
      </c>
      <c r="B1560">
        <v>2020</v>
      </c>
      <c r="C1560" s="9">
        <v>43946</v>
      </c>
      <c r="D1560" t="s">
        <v>20</v>
      </c>
      <c r="E1560" t="s">
        <v>112</v>
      </c>
      <c r="F1560">
        <v>0</v>
      </c>
    </row>
    <row r="1561" spans="1:6">
      <c r="A1561" t="s">
        <v>1637</v>
      </c>
      <c r="B1561">
        <v>2020</v>
      </c>
      <c r="C1561" s="9">
        <v>43947</v>
      </c>
      <c r="D1561" t="s">
        <v>22</v>
      </c>
      <c r="E1561" t="s">
        <v>112</v>
      </c>
      <c r="F1561">
        <v>0</v>
      </c>
    </row>
    <row r="1562" spans="1:6">
      <c r="A1562" t="s">
        <v>1638</v>
      </c>
      <c r="B1562">
        <v>2020</v>
      </c>
      <c r="C1562" s="9">
        <v>43948</v>
      </c>
      <c r="D1562" t="s">
        <v>24</v>
      </c>
      <c r="E1562" t="s">
        <v>112</v>
      </c>
      <c r="F1562">
        <v>0</v>
      </c>
    </row>
    <row r="1563" spans="1:6">
      <c r="A1563" t="s">
        <v>1639</v>
      </c>
      <c r="B1563">
        <v>2020</v>
      </c>
      <c r="C1563" s="9">
        <v>43949</v>
      </c>
      <c r="D1563" t="s">
        <v>7</v>
      </c>
      <c r="E1563" t="s">
        <v>112</v>
      </c>
      <c r="F1563">
        <v>0</v>
      </c>
    </row>
    <row r="1564" spans="1:6">
      <c r="A1564" t="s">
        <v>1640</v>
      </c>
      <c r="B1564">
        <v>2020</v>
      </c>
      <c r="C1564" s="9">
        <v>43950</v>
      </c>
      <c r="D1564" t="s">
        <v>10</v>
      </c>
      <c r="E1564" t="s">
        <v>112</v>
      </c>
      <c r="F1564">
        <v>0</v>
      </c>
    </row>
    <row r="1565" spans="1:6">
      <c r="A1565" t="s">
        <v>1641</v>
      </c>
      <c r="B1565">
        <v>2020</v>
      </c>
      <c r="C1565" s="9">
        <v>43951</v>
      </c>
      <c r="D1565" t="s">
        <v>13</v>
      </c>
      <c r="E1565" t="s">
        <v>112</v>
      </c>
      <c r="F1565">
        <v>0</v>
      </c>
    </row>
    <row r="1566" spans="1:6">
      <c r="A1566" t="s">
        <v>1642</v>
      </c>
      <c r="B1566">
        <v>2020</v>
      </c>
      <c r="C1566" s="9">
        <v>43962</v>
      </c>
      <c r="D1566" t="s">
        <v>24</v>
      </c>
      <c r="E1566" t="s">
        <v>143</v>
      </c>
      <c r="F1566">
        <v>906</v>
      </c>
    </row>
    <row r="1567" spans="1:6">
      <c r="A1567" t="s">
        <v>1643</v>
      </c>
      <c r="B1567">
        <v>2020</v>
      </c>
      <c r="C1567" s="9">
        <v>43952</v>
      </c>
      <c r="D1567" t="s">
        <v>18</v>
      </c>
      <c r="E1567" t="s">
        <v>143</v>
      </c>
      <c r="F1567">
        <v>0</v>
      </c>
    </row>
    <row r="1568" spans="1:6">
      <c r="A1568" t="s">
        <v>1644</v>
      </c>
      <c r="B1568">
        <v>2020</v>
      </c>
      <c r="C1568" s="9">
        <v>43953</v>
      </c>
      <c r="D1568" t="s">
        <v>20</v>
      </c>
      <c r="E1568" t="s">
        <v>143</v>
      </c>
      <c r="F1568">
        <v>0</v>
      </c>
    </row>
    <row r="1569" spans="1:6">
      <c r="A1569" t="s">
        <v>1645</v>
      </c>
      <c r="B1569">
        <v>2020</v>
      </c>
      <c r="C1569" s="9">
        <v>43954</v>
      </c>
      <c r="D1569" t="s">
        <v>22</v>
      </c>
      <c r="E1569" t="s">
        <v>143</v>
      </c>
      <c r="F1569">
        <v>0</v>
      </c>
    </row>
    <row r="1570" spans="1:6">
      <c r="A1570" t="s">
        <v>1646</v>
      </c>
      <c r="B1570">
        <v>2020</v>
      </c>
      <c r="C1570" s="9">
        <v>43955</v>
      </c>
      <c r="D1570" t="s">
        <v>24</v>
      </c>
      <c r="E1570" t="s">
        <v>143</v>
      </c>
      <c r="F1570">
        <v>0</v>
      </c>
    </row>
    <row r="1571" spans="1:6">
      <c r="A1571" t="s">
        <v>1647</v>
      </c>
      <c r="B1571">
        <v>2020</v>
      </c>
      <c r="C1571" s="9">
        <v>43956</v>
      </c>
      <c r="D1571" t="s">
        <v>7</v>
      </c>
      <c r="E1571" t="s">
        <v>143</v>
      </c>
      <c r="F1571">
        <v>0</v>
      </c>
    </row>
    <row r="1572" spans="1:6">
      <c r="A1572" t="s">
        <v>1648</v>
      </c>
      <c r="B1572">
        <v>2020</v>
      </c>
      <c r="C1572" s="9">
        <v>43957</v>
      </c>
      <c r="D1572" t="s">
        <v>10</v>
      </c>
      <c r="E1572" t="s">
        <v>143</v>
      </c>
      <c r="F1572">
        <v>0</v>
      </c>
    </row>
    <row r="1573" spans="1:6">
      <c r="A1573" t="s">
        <v>1649</v>
      </c>
      <c r="B1573">
        <v>2020</v>
      </c>
      <c r="C1573" s="9">
        <v>43958</v>
      </c>
      <c r="D1573" t="s">
        <v>13</v>
      </c>
      <c r="E1573" t="s">
        <v>143</v>
      </c>
      <c r="F1573">
        <v>0</v>
      </c>
    </row>
    <row r="1574" spans="1:6">
      <c r="A1574" t="s">
        <v>1650</v>
      </c>
      <c r="B1574">
        <v>2020</v>
      </c>
      <c r="C1574" s="9">
        <v>43959</v>
      </c>
      <c r="D1574" t="s">
        <v>18</v>
      </c>
      <c r="E1574" t="s">
        <v>143</v>
      </c>
      <c r="F1574">
        <v>0</v>
      </c>
    </row>
    <row r="1575" spans="1:6">
      <c r="A1575" t="s">
        <v>1651</v>
      </c>
      <c r="B1575">
        <v>2020</v>
      </c>
      <c r="C1575" s="9">
        <v>43960</v>
      </c>
      <c r="D1575" t="s">
        <v>20</v>
      </c>
      <c r="E1575" t="s">
        <v>143</v>
      </c>
      <c r="F1575">
        <v>0</v>
      </c>
    </row>
    <row r="1576" spans="1:6">
      <c r="A1576" t="s">
        <v>1652</v>
      </c>
      <c r="B1576">
        <v>2020</v>
      </c>
      <c r="C1576" s="9">
        <v>43961</v>
      </c>
      <c r="D1576" t="s">
        <v>22</v>
      </c>
      <c r="E1576" t="s">
        <v>143</v>
      </c>
      <c r="F1576">
        <v>0</v>
      </c>
    </row>
    <row r="1577" spans="1:6">
      <c r="A1577" t="s">
        <v>1653</v>
      </c>
      <c r="B1577">
        <v>2020</v>
      </c>
      <c r="C1577" s="9">
        <v>43963</v>
      </c>
      <c r="D1577" t="s">
        <v>7</v>
      </c>
      <c r="E1577" t="s">
        <v>143</v>
      </c>
      <c r="F1577">
        <v>759</v>
      </c>
    </row>
    <row r="1578" spans="1:6">
      <c r="A1578" t="s">
        <v>1654</v>
      </c>
      <c r="B1578">
        <v>2020</v>
      </c>
      <c r="C1578" s="9">
        <v>43964</v>
      </c>
      <c r="D1578" t="s">
        <v>10</v>
      </c>
      <c r="E1578" t="s">
        <v>143</v>
      </c>
      <c r="F1578">
        <v>992</v>
      </c>
    </row>
    <row r="1579" spans="1:6">
      <c r="A1579" t="s">
        <v>1655</v>
      </c>
      <c r="B1579">
        <v>2020</v>
      </c>
      <c r="C1579" s="9">
        <v>43965</v>
      </c>
      <c r="D1579" t="s">
        <v>13</v>
      </c>
      <c r="E1579" t="s">
        <v>143</v>
      </c>
      <c r="F1579">
        <v>1101.75</v>
      </c>
    </row>
    <row r="1580" spans="1:6">
      <c r="A1580" t="s">
        <v>1656</v>
      </c>
      <c r="B1580">
        <v>2020</v>
      </c>
      <c r="C1580" s="9">
        <v>43966</v>
      </c>
      <c r="D1580" t="s">
        <v>18</v>
      </c>
      <c r="E1580" t="s">
        <v>143</v>
      </c>
      <c r="F1580">
        <v>925</v>
      </c>
    </row>
    <row r="1581" spans="1:6">
      <c r="A1581" t="s">
        <v>1657</v>
      </c>
      <c r="B1581">
        <v>2020</v>
      </c>
      <c r="C1581" s="9">
        <v>43967</v>
      </c>
      <c r="D1581" t="s">
        <v>20</v>
      </c>
      <c r="E1581" t="s">
        <v>143</v>
      </c>
      <c r="F1581">
        <v>1114</v>
      </c>
    </row>
    <row r="1582" spans="1:6">
      <c r="A1582" t="s">
        <v>1658</v>
      </c>
      <c r="B1582">
        <v>2020</v>
      </c>
      <c r="C1582" s="9">
        <v>43968</v>
      </c>
      <c r="D1582" t="s">
        <v>22</v>
      </c>
      <c r="E1582" t="s">
        <v>143</v>
      </c>
      <c r="F1582">
        <v>0</v>
      </c>
    </row>
    <row r="1583" spans="1:6">
      <c r="A1583" t="s">
        <v>1659</v>
      </c>
      <c r="B1583">
        <v>2020</v>
      </c>
      <c r="C1583" s="9">
        <v>43969</v>
      </c>
      <c r="D1583" t="s">
        <v>24</v>
      </c>
      <c r="E1583" t="s">
        <v>143</v>
      </c>
      <c r="F1583">
        <v>825</v>
      </c>
    </row>
    <row r="1584" spans="1:6">
      <c r="A1584" t="s">
        <v>1660</v>
      </c>
      <c r="B1584">
        <v>2020</v>
      </c>
      <c r="C1584" s="9">
        <v>43970</v>
      </c>
      <c r="D1584" t="s">
        <v>7</v>
      </c>
      <c r="E1584" t="s">
        <v>143</v>
      </c>
      <c r="F1584">
        <v>1136</v>
      </c>
    </row>
    <row r="1585" spans="1:6">
      <c r="A1585" t="s">
        <v>1661</v>
      </c>
      <c r="B1585">
        <v>2020</v>
      </c>
      <c r="C1585" s="9">
        <v>43971</v>
      </c>
      <c r="D1585" t="s">
        <v>10</v>
      </c>
      <c r="E1585" t="s">
        <v>143</v>
      </c>
      <c r="F1585">
        <v>775</v>
      </c>
    </row>
    <row r="1586" spans="1:6">
      <c r="A1586" t="s">
        <v>1662</v>
      </c>
      <c r="B1586">
        <v>2020</v>
      </c>
      <c r="C1586" s="9">
        <v>43972</v>
      </c>
      <c r="D1586" t="s">
        <v>13</v>
      </c>
      <c r="E1586" t="s">
        <v>143</v>
      </c>
      <c r="F1586">
        <v>1085</v>
      </c>
    </row>
    <row r="1587" spans="1:6">
      <c r="A1587" t="s">
        <v>1663</v>
      </c>
      <c r="B1587">
        <v>2020</v>
      </c>
      <c r="C1587" s="9">
        <v>43973</v>
      </c>
      <c r="D1587" t="s">
        <v>18</v>
      </c>
      <c r="E1587" t="s">
        <v>143</v>
      </c>
      <c r="F1587">
        <v>790</v>
      </c>
    </row>
    <row r="1588" spans="1:6">
      <c r="A1588" t="s">
        <v>1664</v>
      </c>
      <c r="B1588">
        <v>2020</v>
      </c>
      <c r="C1588" s="9">
        <v>43974</v>
      </c>
      <c r="D1588" t="s">
        <v>20</v>
      </c>
      <c r="E1588" t="s">
        <v>143</v>
      </c>
      <c r="F1588">
        <v>1345</v>
      </c>
    </row>
    <row r="1589" spans="1:6">
      <c r="A1589" t="s">
        <v>1665</v>
      </c>
      <c r="B1589">
        <v>2020</v>
      </c>
      <c r="C1589" s="9">
        <v>43975</v>
      </c>
      <c r="D1589" t="s">
        <v>22</v>
      </c>
      <c r="E1589" t="s">
        <v>143</v>
      </c>
      <c r="F1589">
        <v>0</v>
      </c>
    </row>
    <row r="1590" spans="1:6">
      <c r="A1590" t="s">
        <v>1666</v>
      </c>
      <c r="B1590">
        <v>2020</v>
      </c>
      <c r="C1590" s="9">
        <v>43976</v>
      </c>
      <c r="D1590" t="s">
        <v>24</v>
      </c>
      <c r="E1590" t="s">
        <v>143</v>
      </c>
      <c r="F1590">
        <v>525</v>
      </c>
    </row>
    <row r="1591" spans="1:6">
      <c r="A1591" t="s">
        <v>1667</v>
      </c>
      <c r="B1591">
        <v>2020</v>
      </c>
      <c r="C1591" s="9">
        <v>43977</v>
      </c>
      <c r="D1591" t="s">
        <v>7</v>
      </c>
      <c r="E1591" t="s">
        <v>143</v>
      </c>
      <c r="F1591">
        <v>741</v>
      </c>
    </row>
    <row r="1592" spans="1:6">
      <c r="A1592" t="s">
        <v>1668</v>
      </c>
      <c r="B1592">
        <v>2020</v>
      </c>
      <c r="C1592" s="9">
        <v>43978</v>
      </c>
      <c r="D1592" t="s">
        <v>10</v>
      </c>
      <c r="E1592" t="s">
        <v>143</v>
      </c>
      <c r="F1592">
        <v>730</v>
      </c>
    </row>
    <row r="1593" spans="1:6">
      <c r="A1593" t="s">
        <v>1669</v>
      </c>
      <c r="B1593">
        <v>2020</v>
      </c>
      <c r="C1593" s="9">
        <v>43979</v>
      </c>
      <c r="D1593" t="s">
        <v>13</v>
      </c>
      <c r="E1593" t="s">
        <v>143</v>
      </c>
      <c r="F1593">
        <v>918</v>
      </c>
    </row>
    <row r="1594" spans="1:6">
      <c r="A1594" t="s">
        <v>1670</v>
      </c>
      <c r="B1594">
        <v>2020</v>
      </c>
      <c r="C1594" s="9">
        <v>43980</v>
      </c>
      <c r="D1594" t="s">
        <v>18</v>
      </c>
      <c r="E1594" t="s">
        <v>143</v>
      </c>
      <c r="F1594">
        <v>956</v>
      </c>
    </row>
    <row r="1595" spans="1:6">
      <c r="A1595" t="s">
        <v>1671</v>
      </c>
      <c r="B1595">
        <v>2020</v>
      </c>
      <c r="C1595" s="9">
        <v>43981</v>
      </c>
      <c r="D1595" t="s">
        <v>20</v>
      </c>
      <c r="E1595" t="s">
        <v>143</v>
      </c>
      <c r="F1595">
        <v>958</v>
      </c>
    </row>
    <row r="1596" spans="1:6">
      <c r="A1596" t="s">
        <v>1672</v>
      </c>
      <c r="B1596">
        <v>2020</v>
      </c>
      <c r="C1596" s="9">
        <v>43982</v>
      </c>
      <c r="D1596" t="s">
        <v>22</v>
      </c>
      <c r="E1596" t="s">
        <v>143</v>
      </c>
      <c r="F1596">
        <v>0</v>
      </c>
    </row>
    <row r="1597" spans="1:6">
      <c r="A1597" t="s">
        <v>1673</v>
      </c>
      <c r="B1597">
        <v>2020</v>
      </c>
      <c r="C1597" s="9">
        <v>43984</v>
      </c>
      <c r="D1597" t="s">
        <v>7</v>
      </c>
      <c r="E1597" t="s">
        <v>174</v>
      </c>
      <c r="F1597">
        <v>518</v>
      </c>
    </row>
    <row r="1598" spans="1:6">
      <c r="A1598" t="s">
        <v>1674</v>
      </c>
      <c r="B1598">
        <v>2020</v>
      </c>
      <c r="C1598" s="9">
        <v>43985</v>
      </c>
      <c r="D1598" t="s">
        <v>10</v>
      </c>
      <c r="E1598" t="s">
        <v>174</v>
      </c>
      <c r="F1598">
        <v>428</v>
      </c>
    </row>
    <row r="1599" spans="1:6">
      <c r="A1599" t="s">
        <v>1675</v>
      </c>
      <c r="B1599">
        <v>2020</v>
      </c>
      <c r="C1599" s="9">
        <v>43986</v>
      </c>
      <c r="D1599" t="s">
        <v>13</v>
      </c>
      <c r="E1599" t="s">
        <v>174</v>
      </c>
      <c r="F1599">
        <v>443</v>
      </c>
    </row>
    <row r="1600" spans="1:6">
      <c r="A1600" t="s">
        <v>1676</v>
      </c>
      <c r="B1600">
        <v>2020</v>
      </c>
      <c r="C1600" s="9">
        <v>43987</v>
      </c>
      <c r="D1600" t="s">
        <v>18</v>
      </c>
      <c r="E1600" t="s">
        <v>174</v>
      </c>
      <c r="F1600">
        <v>511</v>
      </c>
    </row>
    <row r="1601" spans="1:6">
      <c r="A1601" t="s">
        <v>1677</v>
      </c>
      <c r="B1601">
        <v>2020</v>
      </c>
      <c r="C1601" s="9">
        <v>43988</v>
      </c>
      <c r="D1601" t="s">
        <v>20</v>
      </c>
      <c r="E1601" t="s">
        <v>174</v>
      </c>
      <c r="F1601">
        <v>494</v>
      </c>
    </row>
    <row r="1602" spans="1:6">
      <c r="A1602" t="s">
        <v>1678</v>
      </c>
      <c r="B1602">
        <v>2020</v>
      </c>
      <c r="C1602" s="9">
        <v>43989</v>
      </c>
      <c r="D1602" t="s">
        <v>22</v>
      </c>
      <c r="E1602" t="s">
        <v>174</v>
      </c>
      <c r="F1602">
        <v>0</v>
      </c>
    </row>
    <row r="1603" spans="1:6">
      <c r="A1603" t="s">
        <v>1679</v>
      </c>
      <c r="B1603">
        <v>2020</v>
      </c>
      <c r="C1603" s="9">
        <v>43990</v>
      </c>
      <c r="D1603" t="s">
        <v>24</v>
      </c>
      <c r="E1603" t="s">
        <v>174</v>
      </c>
      <c r="F1603">
        <v>0</v>
      </c>
    </row>
    <row r="1604" spans="1:6">
      <c r="A1604" t="s">
        <v>1680</v>
      </c>
      <c r="B1604">
        <v>2020</v>
      </c>
      <c r="C1604" s="9">
        <v>43991</v>
      </c>
      <c r="D1604" t="s">
        <v>7</v>
      </c>
      <c r="E1604" t="s">
        <v>174</v>
      </c>
      <c r="F1604">
        <v>523</v>
      </c>
    </row>
    <row r="1605" spans="1:6">
      <c r="A1605" t="s">
        <v>1681</v>
      </c>
      <c r="B1605">
        <v>2020</v>
      </c>
      <c r="C1605" s="9">
        <v>43992</v>
      </c>
      <c r="D1605" t="s">
        <v>10</v>
      </c>
      <c r="E1605" t="s">
        <v>174</v>
      </c>
      <c r="F1605">
        <v>437</v>
      </c>
    </row>
    <row r="1606" spans="1:6">
      <c r="A1606" t="s">
        <v>1682</v>
      </c>
      <c r="B1606">
        <v>2020</v>
      </c>
      <c r="C1606" s="9">
        <v>43993</v>
      </c>
      <c r="D1606" t="s">
        <v>13</v>
      </c>
      <c r="E1606" t="s">
        <v>174</v>
      </c>
      <c r="F1606">
        <v>607</v>
      </c>
    </row>
    <row r="1607" spans="1:6">
      <c r="A1607" t="s">
        <v>1683</v>
      </c>
      <c r="B1607">
        <v>2020</v>
      </c>
      <c r="C1607" s="9">
        <v>43994</v>
      </c>
      <c r="D1607" t="s">
        <v>18</v>
      </c>
      <c r="E1607" t="s">
        <v>174</v>
      </c>
      <c r="F1607">
        <v>462</v>
      </c>
    </row>
    <row r="1608" spans="1:6">
      <c r="A1608" t="s">
        <v>1684</v>
      </c>
      <c r="B1608">
        <v>2020</v>
      </c>
      <c r="C1608" s="9">
        <v>43995</v>
      </c>
      <c r="D1608" t="s">
        <v>20</v>
      </c>
      <c r="E1608" t="s">
        <v>174</v>
      </c>
      <c r="F1608">
        <v>383</v>
      </c>
    </row>
    <row r="1609" spans="1:6">
      <c r="A1609" t="s">
        <v>1685</v>
      </c>
      <c r="B1609">
        <v>2020</v>
      </c>
      <c r="C1609" s="9">
        <v>43996</v>
      </c>
      <c r="D1609" t="s">
        <v>22</v>
      </c>
      <c r="E1609" t="s">
        <v>174</v>
      </c>
      <c r="F1609">
        <v>0</v>
      </c>
    </row>
    <row r="1610" spans="1:6">
      <c r="A1610" t="s">
        <v>1686</v>
      </c>
      <c r="B1610">
        <v>2020</v>
      </c>
      <c r="C1610" s="9">
        <v>43997</v>
      </c>
      <c r="D1610" t="s">
        <v>24</v>
      </c>
      <c r="E1610" t="s">
        <v>174</v>
      </c>
      <c r="F1610">
        <v>0</v>
      </c>
    </row>
    <row r="1611" spans="1:6">
      <c r="A1611" t="s">
        <v>1687</v>
      </c>
      <c r="B1611">
        <v>2020</v>
      </c>
      <c r="C1611" s="9">
        <v>43998</v>
      </c>
      <c r="D1611" t="s">
        <v>7</v>
      </c>
      <c r="E1611" t="s">
        <v>174</v>
      </c>
      <c r="F1611">
        <v>532</v>
      </c>
    </row>
    <row r="1612" spans="1:6">
      <c r="A1612" t="s">
        <v>1688</v>
      </c>
      <c r="B1612">
        <v>2020</v>
      </c>
      <c r="C1612" s="9">
        <v>43999</v>
      </c>
      <c r="D1612" t="s">
        <v>10</v>
      </c>
      <c r="E1612" t="s">
        <v>174</v>
      </c>
      <c r="F1612">
        <v>290</v>
      </c>
    </row>
    <row r="1613" spans="1:6">
      <c r="A1613" t="s">
        <v>1689</v>
      </c>
      <c r="B1613">
        <v>2020</v>
      </c>
      <c r="C1613" s="9">
        <v>44000</v>
      </c>
      <c r="D1613" t="s">
        <v>13</v>
      </c>
      <c r="E1613" t="s">
        <v>174</v>
      </c>
      <c r="F1613">
        <v>544</v>
      </c>
    </row>
    <row r="1614" spans="1:6">
      <c r="A1614" t="s">
        <v>1690</v>
      </c>
      <c r="B1614">
        <v>2020</v>
      </c>
      <c r="C1614" s="9">
        <v>44001</v>
      </c>
      <c r="D1614" t="s">
        <v>18</v>
      </c>
      <c r="E1614" t="s">
        <v>174</v>
      </c>
      <c r="F1614">
        <v>907</v>
      </c>
    </row>
    <row r="1615" spans="1:6">
      <c r="A1615" t="s">
        <v>1691</v>
      </c>
      <c r="B1615">
        <v>2020</v>
      </c>
      <c r="C1615" s="9">
        <v>44002</v>
      </c>
      <c r="D1615" t="s">
        <v>20</v>
      </c>
      <c r="E1615" t="s">
        <v>174</v>
      </c>
      <c r="F1615">
        <v>341</v>
      </c>
    </row>
    <row r="1616" spans="1:6">
      <c r="A1616" t="s">
        <v>1692</v>
      </c>
      <c r="B1616">
        <v>2020</v>
      </c>
      <c r="C1616" s="9">
        <v>44003</v>
      </c>
      <c r="D1616" t="s">
        <v>22</v>
      </c>
      <c r="E1616" t="s">
        <v>174</v>
      </c>
      <c r="F1616">
        <v>0</v>
      </c>
    </row>
    <row r="1617" spans="1:6">
      <c r="A1617" t="s">
        <v>1693</v>
      </c>
      <c r="B1617">
        <v>2020</v>
      </c>
      <c r="C1617" s="9">
        <v>44004</v>
      </c>
      <c r="D1617" t="s">
        <v>24</v>
      </c>
      <c r="E1617" t="s">
        <v>174</v>
      </c>
      <c r="F1617">
        <v>0</v>
      </c>
    </row>
    <row r="1618" spans="1:6">
      <c r="A1618" t="s">
        <v>1694</v>
      </c>
      <c r="B1618">
        <v>2020</v>
      </c>
      <c r="C1618" s="9">
        <v>44005</v>
      </c>
      <c r="D1618" t="s">
        <v>7</v>
      </c>
      <c r="E1618" t="s">
        <v>174</v>
      </c>
      <c r="F1618">
        <v>461</v>
      </c>
    </row>
    <row r="1619" spans="1:6">
      <c r="A1619" t="s">
        <v>1695</v>
      </c>
      <c r="B1619">
        <v>2020</v>
      </c>
      <c r="C1619" s="9">
        <v>44006</v>
      </c>
      <c r="D1619" t="s">
        <v>10</v>
      </c>
      <c r="E1619" t="s">
        <v>174</v>
      </c>
      <c r="F1619">
        <v>455</v>
      </c>
    </row>
    <row r="1620" spans="1:6">
      <c r="A1620" t="s">
        <v>1696</v>
      </c>
      <c r="B1620">
        <v>2020</v>
      </c>
      <c r="C1620" s="9">
        <v>44007</v>
      </c>
      <c r="D1620" t="s">
        <v>13</v>
      </c>
      <c r="E1620" t="s">
        <v>174</v>
      </c>
      <c r="F1620">
        <v>484</v>
      </c>
    </row>
    <row r="1621" spans="1:6">
      <c r="A1621" t="s">
        <v>1697</v>
      </c>
      <c r="B1621">
        <v>2020</v>
      </c>
      <c r="C1621" s="9">
        <v>44008</v>
      </c>
      <c r="D1621" t="s">
        <v>18</v>
      </c>
      <c r="E1621" t="s">
        <v>174</v>
      </c>
      <c r="F1621">
        <v>760</v>
      </c>
    </row>
    <row r="1622" spans="1:6">
      <c r="A1622" t="s">
        <v>1698</v>
      </c>
      <c r="B1622">
        <v>2020</v>
      </c>
      <c r="C1622" s="9">
        <v>44009</v>
      </c>
      <c r="D1622" t="s">
        <v>20</v>
      </c>
      <c r="E1622" t="s">
        <v>174</v>
      </c>
      <c r="F1622">
        <v>714</v>
      </c>
    </row>
    <row r="1623" spans="1:6">
      <c r="A1623" t="s">
        <v>1699</v>
      </c>
      <c r="B1623">
        <v>2020</v>
      </c>
      <c r="C1623" s="9">
        <v>44010</v>
      </c>
      <c r="D1623" t="s">
        <v>22</v>
      </c>
      <c r="E1623" t="s">
        <v>174</v>
      </c>
      <c r="F1623">
        <v>0</v>
      </c>
    </row>
    <row r="1624" spans="1:6">
      <c r="A1624" t="s">
        <v>1700</v>
      </c>
      <c r="B1624">
        <v>2020</v>
      </c>
      <c r="C1624" s="9">
        <v>44011</v>
      </c>
      <c r="D1624" t="s">
        <v>24</v>
      </c>
      <c r="E1624" t="s">
        <v>174</v>
      </c>
      <c r="F1624">
        <v>0</v>
      </c>
    </row>
    <row r="1625" spans="1:6">
      <c r="A1625" t="s">
        <v>1701</v>
      </c>
      <c r="B1625">
        <v>2020</v>
      </c>
      <c r="C1625" s="9">
        <v>44012</v>
      </c>
      <c r="D1625" t="s">
        <v>7</v>
      </c>
      <c r="E1625" t="s">
        <v>174</v>
      </c>
      <c r="F1625">
        <v>491</v>
      </c>
    </row>
    <row r="1626" spans="1:6">
      <c r="A1626" t="s">
        <v>1702</v>
      </c>
      <c r="B1626">
        <v>2020</v>
      </c>
      <c r="C1626" s="9">
        <v>44013</v>
      </c>
      <c r="D1626" t="s">
        <v>10</v>
      </c>
      <c r="E1626" t="s">
        <v>8</v>
      </c>
      <c r="F1626">
        <v>514</v>
      </c>
    </row>
    <row r="1627" spans="1:6">
      <c r="A1627" t="s">
        <v>1703</v>
      </c>
      <c r="B1627">
        <v>2020</v>
      </c>
      <c r="C1627" s="9">
        <v>44014</v>
      </c>
      <c r="D1627" t="s">
        <v>13</v>
      </c>
      <c r="E1627" t="s">
        <v>8</v>
      </c>
      <c r="F1627">
        <v>625</v>
      </c>
    </row>
    <row r="1628" spans="1:6">
      <c r="A1628" t="s">
        <v>1704</v>
      </c>
      <c r="B1628">
        <v>2020</v>
      </c>
      <c r="C1628" s="9">
        <v>44015</v>
      </c>
      <c r="D1628" t="s">
        <v>18</v>
      </c>
      <c r="E1628" t="s">
        <v>8</v>
      </c>
      <c r="F1628">
        <v>717</v>
      </c>
    </row>
    <row r="1629" spans="1:6">
      <c r="A1629" t="s">
        <v>1705</v>
      </c>
      <c r="B1629">
        <v>2020</v>
      </c>
      <c r="C1629" s="9">
        <v>44016</v>
      </c>
      <c r="D1629" t="s">
        <v>20</v>
      </c>
      <c r="E1629" t="s">
        <v>8</v>
      </c>
      <c r="F1629">
        <v>410</v>
      </c>
    </row>
    <row r="1630" spans="1:6">
      <c r="A1630" t="s">
        <v>1706</v>
      </c>
      <c r="B1630">
        <v>2020</v>
      </c>
      <c r="C1630" s="9">
        <v>44017</v>
      </c>
      <c r="D1630" t="s">
        <v>22</v>
      </c>
      <c r="E1630" t="s">
        <v>8</v>
      </c>
      <c r="F1630">
        <v>0</v>
      </c>
    </row>
    <row r="1631" spans="1:6">
      <c r="A1631" t="s">
        <v>1707</v>
      </c>
      <c r="B1631">
        <v>2020</v>
      </c>
      <c r="C1631" s="9">
        <v>44018</v>
      </c>
      <c r="D1631" t="s">
        <v>24</v>
      </c>
      <c r="E1631" t="s">
        <v>8</v>
      </c>
      <c r="F1631">
        <v>0</v>
      </c>
    </row>
    <row r="1632" spans="1:6">
      <c r="A1632" t="s">
        <v>1708</v>
      </c>
      <c r="B1632">
        <v>2020</v>
      </c>
      <c r="C1632" s="9">
        <v>44019</v>
      </c>
      <c r="D1632" t="s">
        <v>7</v>
      </c>
      <c r="E1632" t="s">
        <v>8</v>
      </c>
      <c r="F1632">
        <v>378</v>
      </c>
    </row>
    <row r="1633" spans="1:6">
      <c r="A1633" t="s">
        <v>1709</v>
      </c>
      <c r="B1633">
        <v>2020</v>
      </c>
      <c r="C1633" s="9">
        <v>44020</v>
      </c>
      <c r="D1633" t="s">
        <v>10</v>
      </c>
      <c r="E1633" t="s">
        <v>8</v>
      </c>
      <c r="F1633">
        <v>223</v>
      </c>
    </row>
    <row r="1634" spans="1:6">
      <c r="A1634" t="s">
        <v>1710</v>
      </c>
      <c r="B1634">
        <v>2020</v>
      </c>
      <c r="C1634" s="9">
        <v>44021</v>
      </c>
      <c r="D1634" t="s">
        <v>13</v>
      </c>
      <c r="E1634" t="s">
        <v>8</v>
      </c>
      <c r="F1634">
        <v>466.5</v>
      </c>
    </row>
    <row r="1635" spans="1:6">
      <c r="A1635" t="s">
        <v>1711</v>
      </c>
      <c r="B1635">
        <v>2020</v>
      </c>
      <c r="C1635" s="9">
        <v>44022</v>
      </c>
      <c r="D1635" t="s">
        <v>18</v>
      </c>
      <c r="E1635" t="s">
        <v>8</v>
      </c>
      <c r="F1635">
        <v>335</v>
      </c>
    </row>
    <row r="1636" spans="1:6">
      <c r="A1636" t="s">
        <v>1712</v>
      </c>
      <c r="B1636">
        <v>2020</v>
      </c>
      <c r="C1636" s="9">
        <v>44023</v>
      </c>
      <c r="D1636" t="s">
        <v>20</v>
      </c>
      <c r="E1636" t="s">
        <v>8</v>
      </c>
      <c r="F1636">
        <v>425</v>
      </c>
    </row>
    <row r="1637" spans="1:6">
      <c r="A1637" t="s">
        <v>1713</v>
      </c>
      <c r="B1637">
        <v>2020</v>
      </c>
      <c r="C1637" s="9">
        <v>44024</v>
      </c>
      <c r="D1637" t="s">
        <v>22</v>
      </c>
      <c r="E1637" t="s">
        <v>8</v>
      </c>
      <c r="F1637">
        <v>0</v>
      </c>
    </row>
    <row r="1638" spans="1:6">
      <c r="A1638" t="s">
        <v>1714</v>
      </c>
      <c r="B1638">
        <v>2020</v>
      </c>
      <c r="C1638" s="9">
        <v>44025</v>
      </c>
      <c r="D1638" t="s">
        <v>24</v>
      </c>
      <c r="E1638" t="s">
        <v>8</v>
      </c>
      <c r="F1638">
        <v>0</v>
      </c>
    </row>
    <row r="1639" spans="1:6">
      <c r="A1639" t="s">
        <v>1715</v>
      </c>
      <c r="B1639">
        <v>2020</v>
      </c>
      <c r="C1639" s="9">
        <v>44026</v>
      </c>
      <c r="D1639" t="s">
        <v>7</v>
      </c>
      <c r="E1639" t="s">
        <v>8</v>
      </c>
      <c r="F1639">
        <v>0</v>
      </c>
    </row>
    <row r="1640" spans="1:6">
      <c r="A1640" t="s">
        <v>1716</v>
      </c>
      <c r="B1640">
        <v>2020</v>
      </c>
      <c r="C1640" s="9">
        <v>44027</v>
      </c>
      <c r="D1640" t="s">
        <v>10</v>
      </c>
      <c r="E1640" t="s">
        <v>8</v>
      </c>
      <c r="F1640">
        <v>640</v>
      </c>
    </row>
    <row r="1641" spans="1:6">
      <c r="A1641" t="s">
        <v>1717</v>
      </c>
      <c r="B1641">
        <v>2020</v>
      </c>
      <c r="C1641" s="9">
        <v>44028</v>
      </c>
      <c r="D1641" t="s">
        <v>13</v>
      </c>
      <c r="E1641" t="s">
        <v>8</v>
      </c>
      <c r="F1641">
        <v>414</v>
      </c>
    </row>
    <row r="1642" spans="1:6">
      <c r="A1642" t="s">
        <v>1718</v>
      </c>
      <c r="B1642">
        <v>2020</v>
      </c>
      <c r="C1642" s="9">
        <v>44029</v>
      </c>
      <c r="D1642" t="s">
        <v>18</v>
      </c>
      <c r="E1642" t="s">
        <v>8</v>
      </c>
      <c r="F1642">
        <v>508</v>
      </c>
    </row>
    <row r="1643" spans="1:6">
      <c r="A1643" t="s">
        <v>1719</v>
      </c>
      <c r="B1643">
        <v>2020</v>
      </c>
      <c r="C1643" s="9">
        <v>44030</v>
      </c>
      <c r="D1643" t="s">
        <v>20</v>
      </c>
      <c r="E1643" t="s">
        <v>8</v>
      </c>
      <c r="F1643">
        <v>473</v>
      </c>
    </row>
    <row r="1644" spans="1:6">
      <c r="A1644" t="s">
        <v>1720</v>
      </c>
      <c r="B1644">
        <v>2020</v>
      </c>
      <c r="C1644" s="9">
        <v>44031</v>
      </c>
      <c r="D1644" t="s">
        <v>22</v>
      </c>
      <c r="E1644" t="s">
        <v>8</v>
      </c>
      <c r="F1644">
        <v>0</v>
      </c>
    </row>
    <row r="1645" spans="1:6">
      <c r="A1645" t="s">
        <v>1721</v>
      </c>
      <c r="B1645">
        <v>2020</v>
      </c>
      <c r="C1645" s="9">
        <v>44032</v>
      </c>
      <c r="D1645" t="s">
        <v>24</v>
      </c>
      <c r="E1645" t="s">
        <v>8</v>
      </c>
      <c r="F1645">
        <v>0</v>
      </c>
    </row>
    <row r="1646" spans="1:6">
      <c r="A1646" t="s">
        <v>1722</v>
      </c>
      <c r="B1646">
        <v>2020</v>
      </c>
      <c r="C1646" s="9">
        <v>44033</v>
      </c>
      <c r="D1646" t="s">
        <v>7</v>
      </c>
      <c r="E1646" t="s">
        <v>8</v>
      </c>
      <c r="F1646">
        <v>613</v>
      </c>
    </row>
    <row r="1647" spans="1:6">
      <c r="A1647" t="s">
        <v>1723</v>
      </c>
      <c r="B1647">
        <v>2020</v>
      </c>
      <c r="C1647" s="9">
        <v>44034</v>
      </c>
      <c r="D1647" t="s">
        <v>10</v>
      </c>
      <c r="E1647" t="s">
        <v>8</v>
      </c>
      <c r="F1647">
        <v>382</v>
      </c>
    </row>
    <row r="1648" spans="1:6">
      <c r="A1648" t="s">
        <v>1724</v>
      </c>
      <c r="B1648">
        <v>2020</v>
      </c>
      <c r="C1648" s="9">
        <v>44035</v>
      </c>
      <c r="D1648" t="s">
        <v>13</v>
      </c>
      <c r="E1648" t="s">
        <v>8</v>
      </c>
      <c r="F1648">
        <v>610</v>
      </c>
    </row>
    <row r="1649" spans="1:6">
      <c r="A1649" t="s">
        <v>1725</v>
      </c>
      <c r="B1649">
        <v>2020</v>
      </c>
      <c r="C1649" s="9">
        <v>44036</v>
      </c>
      <c r="D1649" t="s">
        <v>18</v>
      </c>
      <c r="E1649" t="s">
        <v>8</v>
      </c>
      <c r="F1649">
        <v>972.8</v>
      </c>
    </row>
    <row r="1650" spans="1:6">
      <c r="A1650" t="s">
        <v>1726</v>
      </c>
      <c r="B1650">
        <v>2020</v>
      </c>
      <c r="C1650" s="9">
        <v>44037</v>
      </c>
      <c r="D1650" t="s">
        <v>20</v>
      </c>
      <c r="E1650" t="s">
        <v>8</v>
      </c>
      <c r="F1650">
        <v>481</v>
      </c>
    </row>
    <row r="1651" spans="1:6">
      <c r="A1651" t="s">
        <v>1727</v>
      </c>
      <c r="B1651">
        <v>2020</v>
      </c>
      <c r="C1651" s="9">
        <v>44038</v>
      </c>
      <c r="D1651" t="s">
        <v>22</v>
      </c>
      <c r="E1651" t="s">
        <v>8</v>
      </c>
      <c r="F1651">
        <v>0</v>
      </c>
    </row>
    <row r="1652" spans="1:6">
      <c r="A1652" t="s">
        <v>1728</v>
      </c>
      <c r="B1652">
        <v>2020</v>
      </c>
      <c r="C1652" s="9">
        <v>44039</v>
      </c>
      <c r="D1652" t="s">
        <v>24</v>
      </c>
      <c r="E1652" t="s">
        <v>8</v>
      </c>
      <c r="F1652">
        <v>0</v>
      </c>
    </row>
    <row r="1653" spans="1:6">
      <c r="A1653" t="s">
        <v>1729</v>
      </c>
      <c r="B1653">
        <v>2020</v>
      </c>
      <c r="C1653" s="9">
        <v>44040</v>
      </c>
      <c r="D1653" t="s">
        <v>7</v>
      </c>
      <c r="E1653" t="s">
        <v>8</v>
      </c>
      <c r="F1653">
        <v>803</v>
      </c>
    </row>
    <row r="1654" spans="1:6">
      <c r="A1654" t="s">
        <v>1730</v>
      </c>
      <c r="B1654">
        <v>2020</v>
      </c>
      <c r="C1654" s="9">
        <v>44041</v>
      </c>
      <c r="D1654" t="s">
        <v>10</v>
      </c>
      <c r="E1654" t="s">
        <v>8</v>
      </c>
      <c r="F1654">
        <v>825</v>
      </c>
    </row>
    <row r="1655" spans="1:6">
      <c r="A1655" t="s">
        <v>1731</v>
      </c>
      <c r="B1655">
        <v>2020</v>
      </c>
      <c r="C1655" s="9">
        <v>44042</v>
      </c>
      <c r="D1655" t="s">
        <v>13</v>
      </c>
      <c r="E1655" t="s">
        <v>8</v>
      </c>
      <c r="F1655">
        <v>647.4</v>
      </c>
    </row>
    <row r="1656" spans="1:6">
      <c r="A1656" t="s">
        <v>1732</v>
      </c>
      <c r="B1656">
        <v>2020</v>
      </c>
      <c r="C1656" s="9">
        <v>44043</v>
      </c>
      <c r="D1656" t="s">
        <v>18</v>
      </c>
      <c r="E1656" t="s">
        <v>8</v>
      </c>
      <c r="F1656">
        <v>796</v>
      </c>
    </row>
    <row r="1657" spans="1:6">
      <c r="A1657" t="s">
        <v>1733</v>
      </c>
      <c r="B1657">
        <v>2020</v>
      </c>
      <c r="C1657" s="9">
        <v>44044</v>
      </c>
      <c r="D1657" t="s">
        <v>20</v>
      </c>
      <c r="E1657" t="s">
        <v>234</v>
      </c>
      <c r="F1657">
        <v>879.4</v>
      </c>
    </row>
    <row r="1658" spans="1:6">
      <c r="A1658" t="s">
        <v>1734</v>
      </c>
      <c r="B1658">
        <v>2020</v>
      </c>
      <c r="C1658" s="9">
        <v>44045</v>
      </c>
      <c r="D1658" t="s">
        <v>22</v>
      </c>
      <c r="E1658" t="s">
        <v>234</v>
      </c>
      <c r="F1658">
        <v>0</v>
      </c>
    </row>
    <row r="1659" spans="1:6">
      <c r="A1659" t="s">
        <v>1735</v>
      </c>
      <c r="B1659">
        <v>2020</v>
      </c>
      <c r="C1659" s="9">
        <v>44046</v>
      </c>
      <c r="D1659" t="s">
        <v>24</v>
      </c>
      <c r="E1659" t="s">
        <v>234</v>
      </c>
      <c r="F1659">
        <v>0</v>
      </c>
    </row>
    <row r="1660" spans="1:6">
      <c r="A1660" t="s">
        <v>1736</v>
      </c>
      <c r="B1660">
        <v>2020</v>
      </c>
      <c r="C1660" s="9">
        <v>44047</v>
      </c>
      <c r="D1660" t="s">
        <v>7</v>
      </c>
      <c r="E1660" t="s">
        <v>234</v>
      </c>
      <c r="F1660">
        <v>468.4</v>
      </c>
    </row>
    <row r="1661" spans="1:6">
      <c r="A1661" t="s">
        <v>1737</v>
      </c>
      <c r="B1661">
        <v>2020</v>
      </c>
      <c r="C1661" s="9">
        <v>44048</v>
      </c>
      <c r="D1661" t="s">
        <v>10</v>
      </c>
      <c r="E1661" t="s">
        <v>234</v>
      </c>
      <c r="F1661">
        <v>332</v>
      </c>
    </row>
    <row r="1662" spans="1:6">
      <c r="A1662" t="s">
        <v>1738</v>
      </c>
      <c r="B1662">
        <v>2020</v>
      </c>
      <c r="C1662" s="9">
        <v>44049</v>
      </c>
      <c r="D1662" t="s">
        <v>13</v>
      </c>
      <c r="E1662" t="s">
        <v>234</v>
      </c>
      <c r="F1662">
        <v>498</v>
      </c>
    </row>
    <row r="1663" spans="1:6">
      <c r="A1663" t="s">
        <v>1739</v>
      </c>
      <c r="B1663">
        <v>2020</v>
      </c>
      <c r="C1663" s="9">
        <v>44050</v>
      </c>
      <c r="D1663" t="s">
        <v>18</v>
      </c>
      <c r="E1663" t="s">
        <v>234</v>
      </c>
      <c r="F1663">
        <v>529</v>
      </c>
    </row>
    <row r="1664" spans="1:6">
      <c r="A1664" t="s">
        <v>1740</v>
      </c>
      <c r="B1664">
        <v>2020</v>
      </c>
      <c r="C1664" s="9">
        <v>44051</v>
      </c>
      <c r="D1664" t="s">
        <v>20</v>
      </c>
      <c r="E1664" t="s">
        <v>234</v>
      </c>
      <c r="F1664">
        <v>272</v>
      </c>
    </row>
    <row r="1665" spans="1:6">
      <c r="A1665" t="s">
        <v>1741</v>
      </c>
      <c r="B1665">
        <v>2020</v>
      </c>
      <c r="C1665" s="9">
        <v>44052</v>
      </c>
      <c r="D1665" t="s">
        <v>22</v>
      </c>
      <c r="E1665" t="s">
        <v>234</v>
      </c>
      <c r="F1665">
        <v>0</v>
      </c>
    </row>
    <row r="1666" spans="1:6">
      <c r="A1666" t="s">
        <v>1742</v>
      </c>
      <c r="B1666">
        <v>2020</v>
      </c>
      <c r="C1666" s="9">
        <v>44053</v>
      </c>
      <c r="D1666" t="s">
        <v>24</v>
      </c>
      <c r="E1666" t="s">
        <v>234</v>
      </c>
      <c r="F1666">
        <v>0</v>
      </c>
    </row>
    <row r="1667" spans="1:6">
      <c r="A1667" t="s">
        <v>1743</v>
      </c>
      <c r="B1667">
        <v>2020</v>
      </c>
      <c r="C1667" s="9">
        <v>44054</v>
      </c>
      <c r="D1667" t="s">
        <v>7</v>
      </c>
      <c r="E1667" t="s">
        <v>234</v>
      </c>
      <c r="F1667">
        <v>651.6</v>
      </c>
    </row>
    <row r="1668" spans="1:6">
      <c r="A1668" t="s">
        <v>1744</v>
      </c>
      <c r="B1668">
        <v>2020</v>
      </c>
      <c r="C1668" s="9">
        <v>44055</v>
      </c>
      <c r="D1668" t="s">
        <v>10</v>
      </c>
      <c r="E1668" t="s">
        <v>234</v>
      </c>
      <c r="F1668">
        <v>475</v>
      </c>
    </row>
    <row r="1669" spans="1:6">
      <c r="A1669" t="s">
        <v>1745</v>
      </c>
      <c r="B1669">
        <v>2020</v>
      </c>
      <c r="C1669" s="9">
        <v>44056</v>
      </c>
      <c r="D1669" t="s">
        <v>13</v>
      </c>
      <c r="E1669" t="s">
        <v>234</v>
      </c>
      <c r="F1669">
        <v>565</v>
      </c>
    </row>
    <row r="1670" spans="1:6">
      <c r="A1670" t="s">
        <v>1746</v>
      </c>
      <c r="B1670">
        <v>2020</v>
      </c>
      <c r="C1670" s="9">
        <v>44057</v>
      </c>
      <c r="D1670" t="s">
        <v>18</v>
      </c>
      <c r="E1670" t="s">
        <v>234</v>
      </c>
      <c r="F1670">
        <v>781</v>
      </c>
    </row>
    <row r="1671" spans="1:6">
      <c r="A1671" t="s">
        <v>1747</v>
      </c>
      <c r="B1671">
        <v>2020</v>
      </c>
      <c r="C1671" s="9">
        <v>44058</v>
      </c>
      <c r="D1671" t="s">
        <v>20</v>
      </c>
      <c r="E1671" t="s">
        <v>234</v>
      </c>
      <c r="F1671">
        <v>0</v>
      </c>
    </row>
    <row r="1672" spans="1:6">
      <c r="A1672" t="s">
        <v>1748</v>
      </c>
      <c r="B1672">
        <v>2020</v>
      </c>
      <c r="C1672" s="9">
        <v>44059</v>
      </c>
      <c r="D1672" t="s">
        <v>22</v>
      </c>
      <c r="E1672" t="s">
        <v>234</v>
      </c>
      <c r="F1672">
        <v>0</v>
      </c>
    </row>
    <row r="1673" spans="1:6">
      <c r="A1673" t="s">
        <v>1749</v>
      </c>
      <c r="B1673">
        <v>2020</v>
      </c>
      <c r="C1673" s="9">
        <v>44060</v>
      </c>
      <c r="D1673" t="s">
        <v>24</v>
      </c>
      <c r="E1673" t="s">
        <v>234</v>
      </c>
      <c r="F1673">
        <v>0</v>
      </c>
    </row>
    <row r="1674" spans="1:6">
      <c r="A1674" t="s">
        <v>1750</v>
      </c>
      <c r="B1674">
        <v>2020</v>
      </c>
      <c r="C1674" s="9">
        <v>44061</v>
      </c>
      <c r="D1674" t="s">
        <v>7</v>
      </c>
      <c r="E1674" t="s">
        <v>234</v>
      </c>
      <c r="F1674">
        <v>452</v>
      </c>
    </row>
    <row r="1675" spans="1:6">
      <c r="A1675" t="s">
        <v>1751</v>
      </c>
      <c r="B1675">
        <v>2020</v>
      </c>
      <c r="C1675" s="9">
        <v>44062</v>
      </c>
      <c r="D1675" t="s">
        <v>10</v>
      </c>
      <c r="E1675" t="s">
        <v>234</v>
      </c>
      <c r="F1675">
        <v>590</v>
      </c>
    </row>
    <row r="1676" spans="1:6">
      <c r="A1676" t="s">
        <v>1752</v>
      </c>
      <c r="B1676">
        <v>2020</v>
      </c>
      <c r="C1676" s="9">
        <v>44063</v>
      </c>
      <c r="D1676" t="s">
        <v>13</v>
      </c>
      <c r="E1676" t="s">
        <v>234</v>
      </c>
      <c r="F1676">
        <v>559</v>
      </c>
    </row>
    <row r="1677" spans="1:6">
      <c r="A1677" t="s">
        <v>1753</v>
      </c>
      <c r="B1677">
        <v>2020</v>
      </c>
      <c r="C1677" s="9">
        <v>44064</v>
      </c>
      <c r="D1677" t="s">
        <v>18</v>
      </c>
      <c r="E1677" t="s">
        <v>234</v>
      </c>
      <c r="F1677">
        <v>461</v>
      </c>
    </row>
    <row r="1678" spans="1:6">
      <c r="A1678" t="s">
        <v>1754</v>
      </c>
      <c r="B1678">
        <v>2020</v>
      </c>
      <c r="C1678" s="9">
        <v>44065</v>
      </c>
      <c r="D1678" t="s">
        <v>20</v>
      </c>
      <c r="E1678" t="s">
        <v>234</v>
      </c>
      <c r="F1678">
        <v>616</v>
      </c>
    </row>
    <row r="1679" spans="1:6">
      <c r="A1679" t="s">
        <v>1755</v>
      </c>
      <c r="B1679">
        <v>2020</v>
      </c>
      <c r="C1679" s="9">
        <v>44066</v>
      </c>
      <c r="D1679" t="s">
        <v>22</v>
      </c>
      <c r="E1679" t="s">
        <v>234</v>
      </c>
      <c r="F1679">
        <v>0</v>
      </c>
    </row>
    <row r="1680" spans="1:6">
      <c r="A1680" t="s">
        <v>1756</v>
      </c>
      <c r="B1680">
        <v>2020</v>
      </c>
      <c r="C1680" s="9">
        <v>44067</v>
      </c>
      <c r="D1680" t="s">
        <v>24</v>
      </c>
      <c r="E1680" t="s">
        <v>234</v>
      </c>
      <c r="F1680">
        <v>0</v>
      </c>
    </row>
    <row r="1681" spans="1:6">
      <c r="A1681" t="s">
        <v>1757</v>
      </c>
      <c r="B1681">
        <v>2020</v>
      </c>
      <c r="C1681" s="9">
        <v>44068</v>
      </c>
      <c r="D1681" t="s">
        <v>7</v>
      </c>
      <c r="E1681" t="s">
        <v>234</v>
      </c>
      <c r="F1681">
        <v>495</v>
      </c>
    </row>
    <row r="1682" spans="1:6">
      <c r="A1682" t="s">
        <v>1758</v>
      </c>
      <c r="B1682">
        <v>2020</v>
      </c>
      <c r="C1682" s="9">
        <v>44069</v>
      </c>
      <c r="D1682" t="s">
        <v>10</v>
      </c>
      <c r="E1682" t="s">
        <v>234</v>
      </c>
      <c r="F1682">
        <v>432</v>
      </c>
    </row>
    <row r="1683" spans="1:6">
      <c r="A1683" t="s">
        <v>1759</v>
      </c>
      <c r="B1683">
        <v>2020</v>
      </c>
      <c r="C1683" s="9">
        <v>44070</v>
      </c>
      <c r="D1683" t="s">
        <v>13</v>
      </c>
      <c r="E1683" t="s">
        <v>234</v>
      </c>
      <c r="F1683">
        <v>715</v>
      </c>
    </row>
    <row r="1684" spans="1:6">
      <c r="A1684" t="s">
        <v>1760</v>
      </c>
      <c r="B1684">
        <v>2020</v>
      </c>
      <c r="C1684" s="9">
        <v>44071</v>
      </c>
      <c r="D1684" t="s">
        <v>18</v>
      </c>
      <c r="E1684" t="s">
        <v>234</v>
      </c>
      <c r="F1684">
        <v>544</v>
      </c>
    </row>
    <row r="1685" spans="1:6">
      <c r="A1685" t="s">
        <v>1761</v>
      </c>
      <c r="B1685">
        <v>2020</v>
      </c>
      <c r="C1685" s="9">
        <v>44072</v>
      </c>
      <c r="D1685" t="s">
        <v>20</v>
      </c>
      <c r="E1685" t="s">
        <v>234</v>
      </c>
      <c r="F1685">
        <v>391</v>
      </c>
    </row>
    <row r="1686" spans="1:6">
      <c r="A1686" t="s">
        <v>1762</v>
      </c>
      <c r="B1686">
        <v>2020</v>
      </c>
      <c r="C1686" s="9">
        <v>44073</v>
      </c>
      <c r="D1686" t="s">
        <v>22</v>
      </c>
      <c r="E1686" t="s">
        <v>234</v>
      </c>
      <c r="F1686">
        <v>0</v>
      </c>
    </row>
    <row r="1687" spans="1:6">
      <c r="A1687" t="s">
        <v>1763</v>
      </c>
      <c r="B1687">
        <v>2020</v>
      </c>
      <c r="C1687" s="9">
        <v>44074</v>
      </c>
      <c r="D1687" t="s">
        <v>24</v>
      </c>
      <c r="E1687" t="s">
        <v>234</v>
      </c>
      <c r="F1687">
        <v>0</v>
      </c>
    </row>
    <row r="1688" spans="1:6">
      <c r="A1688" t="s">
        <v>1764</v>
      </c>
      <c r="B1688">
        <v>2020</v>
      </c>
      <c r="C1688" s="9">
        <v>44075</v>
      </c>
      <c r="D1688" t="s">
        <v>7</v>
      </c>
      <c r="E1688" t="s">
        <v>265</v>
      </c>
      <c r="F1688">
        <v>862.8</v>
      </c>
    </row>
    <row r="1689" spans="1:6">
      <c r="A1689" t="s">
        <v>1765</v>
      </c>
      <c r="B1689">
        <v>2020</v>
      </c>
      <c r="C1689" s="9">
        <v>44076</v>
      </c>
      <c r="D1689" t="s">
        <v>10</v>
      </c>
      <c r="E1689" t="s">
        <v>265</v>
      </c>
      <c r="F1689">
        <v>243</v>
      </c>
    </row>
    <row r="1690" spans="1:6">
      <c r="A1690" t="s">
        <v>1766</v>
      </c>
      <c r="B1690">
        <v>2020</v>
      </c>
      <c r="C1690" s="9">
        <v>44077</v>
      </c>
      <c r="D1690" t="s">
        <v>13</v>
      </c>
      <c r="E1690" t="s">
        <v>265</v>
      </c>
      <c r="F1690">
        <v>705</v>
      </c>
    </row>
    <row r="1691" spans="1:6">
      <c r="A1691" t="s">
        <v>1767</v>
      </c>
      <c r="B1691">
        <v>2020</v>
      </c>
      <c r="C1691" s="9">
        <v>44078</v>
      </c>
      <c r="D1691" t="s">
        <v>18</v>
      </c>
      <c r="E1691" t="s">
        <v>265</v>
      </c>
      <c r="F1691">
        <v>509</v>
      </c>
    </row>
    <row r="1692" spans="1:6">
      <c r="A1692" t="s">
        <v>1768</v>
      </c>
      <c r="B1692">
        <v>2020</v>
      </c>
      <c r="C1692" s="9">
        <v>44079</v>
      </c>
      <c r="D1692" t="s">
        <v>20</v>
      </c>
      <c r="E1692" t="s">
        <v>265</v>
      </c>
      <c r="F1692">
        <v>792.6</v>
      </c>
    </row>
    <row r="1693" spans="1:6">
      <c r="A1693" t="s">
        <v>1769</v>
      </c>
      <c r="B1693">
        <v>2020</v>
      </c>
      <c r="C1693" s="9">
        <v>44080</v>
      </c>
      <c r="D1693" t="s">
        <v>22</v>
      </c>
      <c r="E1693" t="s">
        <v>265</v>
      </c>
      <c r="F1693">
        <v>0</v>
      </c>
    </row>
    <row r="1694" spans="1:6">
      <c r="A1694" t="s">
        <v>1770</v>
      </c>
      <c r="B1694">
        <v>2020</v>
      </c>
      <c r="C1694" s="9">
        <v>44081</v>
      </c>
      <c r="D1694" t="s">
        <v>24</v>
      </c>
      <c r="E1694" t="s">
        <v>265</v>
      </c>
      <c r="F1694">
        <v>0</v>
      </c>
    </row>
    <row r="1695" spans="1:6">
      <c r="A1695" t="s">
        <v>1771</v>
      </c>
      <c r="B1695">
        <v>2020</v>
      </c>
      <c r="C1695" s="9">
        <v>44082</v>
      </c>
      <c r="D1695" t="s">
        <v>7</v>
      </c>
      <c r="E1695" t="s">
        <v>265</v>
      </c>
      <c r="F1695">
        <v>338.8</v>
      </c>
    </row>
    <row r="1696" spans="1:6">
      <c r="A1696" t="s">
        <v>1772</v>
      </c>
      <c r="B1696">
        <v>2020</v>
      </c>
      <c r="C1696" s="9">
        <v>44083</v>
      </c>
      <c r="D1696" t="s">
        <v>10</v>
      </c>
      <c r="E1696" t="s">
        <v>265</v>
      </c>
      <c r="F1696">
        <v>684</v>
      </c>
    </row>
    <row r="1697" spans="1:6">
      <c r="A1697" t="s">
        <v>1773</v>
      </c>
      <c r="B1697">
        <v>2020</v>
      </c>
      <c r="C1697" s="9">
        <v>44084</v>
      </c>
      <c r="D1697" t="s">
        <v>13</v>
      </c>
      <c r="E1697" t="s">
        <v>265</v>
      </c>
      <c r="F1697">
        <v>638.79999999999995</v>
      </c>
    </row>
    <row r="1698" spans="1:6">
      <c r="A1698" t="s">
        <v>1774</v>
      </c>
      <c r="B1698">
        <v>2020</v>
      </c>
      <c r="C1698" s="9">
        <v>44085</v>
      </c>
      <c r="D1698" t="s">
        <v>18</v>
      </c>
      <c r="E1698" t="s">
        <v>265</v>
      </c>
      <c r="F1698">
        <v>805</v>
      </c>
    </row>
    <row r="1699" spans="1:6">
      <c r="A1699" t="s">
        <v>1775</v>
      </c>
      <c r="B1699">
        <v>2020</v>
      </c>
      <c r="C1699" s="9">
        <v>44086</v>
      </c>
      <c r="D1699" t="s">
        <v>20</v>
      </c>
      <c r="E1699" t="s">
        <v>265</v>
      </c>
      <c r="F1699">
        <v>705.2</v>
      </c>
    </row>
    <row r="1700" spans="1:6">
      <c r="A1700" t="s">
        <v>1776</v>
      </c>
      <c r="B1700">
        <v>2020</v>
      </c>
      <c r="C1700" s="9">
        <v>44087</v>
      </c>
      <c r="D1700" t="s">
        <v>22</v>
      </c>
      <c r="E1700" t="s">
        <v>265</v>
      </c>
      <c r="F1700">
        <v>0</v>
      </c>
    </row>
    <row r="1701" spans="1:6">
      <c r="A1701" t="s">
        <v>1777</v>
      </c>
      <c r="B1701">
        <v>2020</v>
      </c>
      <c r="C1701" s="9">
        <v>44088</v>
      </c>
      <c r="D1701" t="s">
        <v>24</v>
      </c>
      <c r="E1701" t="s">
        <v>265</v>
      </c>
      <c r="F1701">
        <v>0</v>
      </c>
    </row>
    <row r="1702" spans="1:6">
      <c r="A1702" t="s">
        <v>1778</v>
      </c>
      <c r="B1702">
        <v>2020</v>
      </c>
      <c r="C1702" s="9">
        <v>44089</v>
      </c>
      <c r="D1702" t="s">
        <v>7</v>
      </c>
      <c r="E1702" t="s">
        <v>265</v>
      </c>
      <c r="F1702">
        <v>804.4</v>
      </c>
    </row>
    <row r="1703" spans="1:6">
      <c r="A1703" t="s">
        <v>1779</v>
      </c>
      <c r="B1703">
        <v>2020</v>
      </c>
      <c r="C1703" s="9">
        <v>44090</v>
      </c>
      <c r="D1703" t="s">
        <v>10</v>
      </c>
      <c r="E1703" t="s">
        <v>265</v>
      </c>
      <c r="F1703">
        <v>611</v>
      </c>
    </row>
    <row r="1704" spans="1:6">
      <c r="A1704" t="s">
        <v>1780</v>
      </c>
      <c r="B1704">
        <v>2020</v>
      </c>
      <c r="C1704" s="9">
        <v>44091</v>
      </c>
      <c r="D1704" t="s">
        <v>13</v>
      </c>
      <c r="E1704" t="s">
        <v>265</v>
      </c>
      <c r="F1704">
        <v>818</v>
      </c>
    </row>
    <row r="1705" spans="1:6">
      <c r="A1705" t="s">
        <v>1781</v>
      </c>
      <c r="B1705">
        <v>2020</v>
      </c>
      <c r="C1705" s="9">
        <v>44092</v>
      </c>
      <c r="D1705" t="s">
        <v>18</v>
      </c>
      <c r="E1705" t="s">
        <v>265</v>
      </c>
      <c r="F1705">
        <v>956</v>
      </c>
    </row>
    <row r="1706" spans="1:6">
      <c r="A1706" t="s">
        <v>1782</v>
      </c>
      <c r="B1706">
        <v>2020</v>
      </c>
      <c r="C1706" s="9">
        <v>44093</v>
      </c>
      <c r="D1706" t="s">
        <v>20</v>
      </c>
      <c r="E1706" t="s">
        <v>265</v>
      </c>
      <c r="F1706">
        <v>1047</v>
      </c>
    </row>
    <row r="1707" spans="1:6">
      <c r="A1707" t="s">
        <v>1783</v>
      </c>
      <c r="B1707">
        <v>2020</v>
      </c>
      <c r="C1707" s="9">
        <v>44094</v>
      </c>
      <c r="D1707" t="s">
        <v>22</v>
      </c>
      <c r="E1707" t="s">
        <v>265</v>
      </c>
      <c r="F1707">
        <v>0</v>
      </c>
    </row>
    <row r="1708" spans="1:6">
      <c r="A1708" t="s">
        <v>1784</v>
      </c>
      <c r="B1708">
        <v>2020</v>
      </c>
      <c r="C1708" s="9">
        <v>44095</v>
      </c>
      <c r="D1708" t="s">
        <v>24</v>
      </c>
      <c r="E1708" t="s">
        <v>265</v>
      </c>
      <c r="F1708">
        <v>0</v>
      </c>
    </row>
    <row r="1709" spans="1:6">
      <c r="A1709" t="s">
        <v>1785</v>
      </c>
      <c r="B1709">
        <v>2020</v>
      </c>
      <c r="C1709" s="9">
        <v>44096</v>
      </c>
      <c r="D1709" t="s">
        <v>7</v>
      </c>
      <c r="E1709" t="s">
        <v>265</v>
      </c>
      <c r="F1709">
        <v>509.8</v>
      </c>
    </row>
    <row r="1710" spans="1:6">
      <c r="A1710" t="s">
        <v>1786</v>
      </c>
      <c r="B1710">
        <v>2020</v>
      </c>
      <c r="C1710" s="9">
        <v>44097</v>
      </c>
      <c r="D1710" t="s">
        <v>10</v>
      </c>
      <c r="E1710" t="s">
        <v>265</v>
      </c>
      <c r="F1710">
        <v>401</v>
      </c>
    </row>
    <row r="1711" spans="1:6">
      <c r="A1711" t="s">
        <v>1787</v>
      </c>
      <c r="B1711">
        <v>2020</v>
      </c>
      <c r="C1711" s="9">
        <v>44098</v>
      </c>
      <c r="D1711" t="s">
        <v>13</v>
      </c>
      <c r="E1711" t="s">
        <v>265</v>
      </c>
      <c r="F1711">
        <v>543</v>
      </c>
    </row>
    <row r="1712" spans="1:6">
      <c r="A1712" t="s">
        <v>1788</v>
      </c>
      <c r="B1712">
        <v>2020</v>
      </c>
      <c r="C1712" s="9">
        <v>44099</v>
      </c>
      <c r="D1712" t="s">
        <v>18</v>
      </c>
      <c r="E1712" t="s">
        <v>265</v>
      </c>
      <c r="F1712">
        <v>583</v>
      </c>
    </row>
    <row r="1713" spans="1:6">
      <c r="A1713" t="s">
        <v>1789</v>
      </c>
      <c r="B1713">
        <v>2020</v>
      </c>
      <c r="C1713" s="9">
        <v>44100</v>
      </c>
      <c r="D1713" t="s">
        <v>20</v>
      </c>
      <c r="E1713" t="s">
        <v>265</v>
      </c>
      <c r="F1713">
        <v>779</v>
      </c>
    </row>
    <row r="1714" spans="1:6">
      <c r="A1714" t="s">
        <v>1790</v>
      </c>
      <c r="B1714">
        <v>2020</v>
      </c>
      <c r="C1714" s="9">
        <v>44101</v>
      </c>
      <c r="D1714" t="s">
        <v>22</v>
      </c>
      <c r="E1714" t="s">
        <v>265</v>
      </c>
      <c r="F1714">
        <v>0</v>
      </c>
    </row>
    <row r="1715" spans="1:6">
      <c r="A1715" t="s">
        <v>1791</v>
      </c>
      <c r="B1715">
        <v>2020</v>
      </c>
      <c r="C1715" s="9">
        <v>44102</v>
      </c>
      <c r="D1715" t="s">
        <v>24</v>
      </c>
      <c r="E1715" t="s">
        <v>265</v>
      </c>
      <c r="F1715">
        <v>0</v>
      </c>
    </row>
    <row r="1716" spans="1:6">
      <c r="A1716" t="s">
        <v>1792</v>
      </c>
      <c r="B1716">
        <v>2020</v>
      </c>
      <c r="C1716" s="9">
        <v>44103</v>
      </c>
      <c r="D1716" t="s">
        <v>7</v>
      </c>
      <c r="E1716" t="s">
        <v>265</v>
      </c>
      <c r="F1716">
        <v>737</v>
      </c>
    </row>
    <row r="1717" spans="1:6">
      <c r="A1717" t="s">
        <v>1793</v>
      </c>
      <c r="B1717">
        <v>2020</v>
      </c>
      <c r="C1717" s="9">
        <v>44104</v>
      </c>
      <c r="D1717" t="s">
        <v>10</v>
      </c>
      <c r="E1717" t="s">
        <v>265</v>
      </c>
      <c r="F1717">
        <v>270</v>
      </c>
    </row>
    <row r="1718" spans="1:6">
      <c r="A1718" t="s">
        <v>1794</v>
      </c>
      <c r="B1718">
        <v>2020</v>
      </c>
      <c r="C1718" s="9">
        <v>44105</v>
      </c>
      <c r="D1718" t="s">
        <v>13</v>
      </c>
      <c r="E1718" t="s">
        <v>296</v>
      </c>
      <c r="F1718">
        <v>865.2</v>
      </c>
    </row>
    <row r="1719" spans="1:6">
      <c r="A1719" t="s">
        <v>1795</v>
      </c>
      <c r="B1719">
        <v>2020</v>
      </c>
      <c r="C1719" s="9">
        <v>44106</v>
      </c>
      <c r="D1719" t="s">
        <v>18</v>
      </c>
      <c r="E1719" t="s">
        <v>296</v>
      </c>
      <c r="F1719">
        <v>778.4</v>
      </c>
    </row>
    <row r="1720" spans="1:6">
      <c r="A1720" t="s">
        <v>1796</v>
      </c>
      <c r="B1720">
        <v>2020</v>
      </c>
      <c r="C1720" s="9">
        <v>44107</v>
      </c>
      <c r="D1720" t="s">
        <v>20</v>
      </c>
      <c r="E1720" t="s">
        <v>296</v>
      </c>
      <c r="F1720">
        <v>344</v>
      </c>
    </row>
    <row r="1721" spans="1:6">
      <c r="A1721" t="s">
        <v>1797</v>
      </c>
      <c r="B1721">
        <v>2020</v>
      </c>
      <c r="C1721" s="9">
        <v>44108</v>
      </c>
      <c r="D1721" t="s">
        <v>22</v>
      </c>
      <c r="E1721" t="s">
        <v>296</v>
      </c>
      <c r="F1721">
        <v>0</v>
      </c>
    </row>
    <row r="1722" spans="1:6">
      <c r="A1722" t="s">
        <v>1798</v>
      </c>
      <c r="B1722">
        <v>2020</v>
      </c>
      <c r="C1722" s="9">
        <v>44109</v>
      </c>
      <c r="D1722" t="s">
        <v>24</v>
      </c>
      <c r="E1722" t="s">
        <v>296</v>
      </c>
      <c r="F1722">
        <v>0</v>
      </c>
    </row>
    <row r="1723" spans="1:6">
      <c r="A1723" t="s">
        <v>1799</v>
      </c>
      <c r="B1723">
        <v>2020</v>
      </c>
      <c r="C1723" s="9">
        <v>44110</v>
      </c>
      <c r="D1723" t="s">
        <v>7</v>
      </c>
      <c r="E1723" t="s">
        <v>296</v>
      </c>
      <c r="F1723">
        <v>470</v>
      </c>
    </row>
    <row r="1724" spans="1:6">
      <c r="A1724" t="s">
        <v>1800</v>
      </c>
      <c r="B1724">
        <v>2020</v>
      </c>
      <c r="C1724" s="9">
        <v>44111</v>
      </c>
      <c r="D1724" t="s">
        <v>10</v>
      </c>
      <c r="E1724" t="s">
        <v>296</v>
      </c>
      <c r="F1724">
        <v>339</v>
      </c>
    </row>
    <row r="1725" spans="1:6">
      <c r="A1725" t="s">
        <v>1801</v>
      </c>
      <c r="B1725">
        <v>2020</v>
      </c>
      <c r="C1725" s="9">
        <v>44112</v>
      </c>
      <c r="D1725" t="s">
        <v>13</v>
      </c>
      <c r="E1725" t="s">
        <v>296</v>
      </c>
      <c r="F1725">
        <v>945</v>
      </c>
    </row>
    <row r="1726" spans="1:6">
      <c r="A1726" t="s">
        <v>1802</v>
      </c>
      <c r="B1726">
        <v>2020</v>
      </c>
      <c r="C1726" s="9">
        <v>44113</v>
      </c>
      <c r="D1726" t="s">
        <v>18</v>
      </c>
      <c r="E1726" t="s">
        <v>296</v>
      </c>
      <c r="F1726">
        <v>915</v>
      </c>
    </row>
    <row r="1727" spans="1:6">
      <c r="A1727" t="s">
        <v>1803</v>
      </c>
      <c r="B1727">
        <v>2020</v>
      </c>
      <c r="C1727" s="9">
        <v>44114</v>
      </c>
      <c r="D1727" t="s">
        <v>20</v>
      </c>
      <c r="E1727" t="s">
        <v>296</v>
      </c>
      <c r="F1727">
        <v>978</v>
      </c>
    </row>
    <row r="1728" spans="1:6">
      <c r="A1728" t="s">
        <v>1804</v>
      </c>
      <c r="B1728">
        <v>2020</v>
      </c>
      <c r="C1728" s="9">
        <v>44115</v>
      </c>
      <c r="D1728" t="s">
        <v>22</v>
      </c>
      <c r="E1728" t="s">
        <v>296</v>
      </c>
      <c r="F1728">
        <v>0</v>
      </c>
    </row>
    <row r="1729" spans="1:6">
      <c r="A1729" t="s">
        <v>1805</v>
      </c>
      <c r="B1729">
        <v>2020</v>
      </c>
      <c r="C1729" s="9">
        <v>44116</v>
      </c>
      <c r="D1729" t="s">
        <v>24</v>
      </c>
      <c r="E1729" t="s">
        <v>296</v>
      </c>
      <c r="F1729">
        <v>0</v>
      </c>
    </row>
    <row r="1730" spans="1:6">
      <c r="A1730" t="s">
        <v>1806</v>
      </c>
      <c r="B1730">
        <v>2020</v>
      </c>
      <c r="C1730" s="9">
        <v>44117</v>
      </c>
      <c r="D1730" t="s">
        <v>7</v>
      </c>
      <c r="E1730" t="s">
        <v>296</v>
      </c>
      <c r="F1730">
        <v>303</v>
      </c>
    </row>
    <row r="1731" spans="1:6">
      <c r="A1731" t="s">
        <v>1807</v>
      </c>
      <c r="B1731">
        <v>2020</v>
      </c>
      <c r="C1731" s="9">
        <v>44118</v>
      </c>
      <c r="D1731" t="s">
        <v>10</v>
      </c>
      <c r="E1731" t="s">
        <v>296</v>
      </c>
      <c r="F1731">
        <v>573</v>
      </c>
    </row>
    <row r="1732" spans="1:6">
      <c r="A1732" t="s">
        <v>1808</v>
      </c>
      <c r="B1732">
        <v>2020</v>
      </c>
      <c r="C1732" s="9">
        <v>44119</v>
      </c>
      <c r="D1732" t="s">
        <v>13</v>
      </c>
      <c r="E1732" t="s">
        <v>296</v>
      </c>
      <c r="F1732">
        <v>472</v>
      </c>
    </row>
    <row r="1733" spans="1:6">
      <c r="A1733" t="s">
        <v>1809</v>
      </c>
      <c r="B1733">
        <v>2020</v>
      </c>
      <c r="C1733" s="9">
        <v>44120</v>
      </c>
      <c r="D1733" t="s">
        <v>18</v>
      </c>
      <c r="E1733" t="s">
        <v>296</v>
      </c>
      <c r="F1733">
        <v>489</v>
      </c>
    </row>
    <row r="1734" spans="1:6">
      <c r="A1734" t="s">
        <v>1810</v>
      </c>
      <c r="B1734">
        <v>2020</v>
      </c>
      <c r="C1734" s="9">
        <v>44121</v>
      </c>
      <c r="D1734" t="s">
        <v>20</v>
      </c>
      <c r="E1734" t="s">
        <v>296</v>
      </c>
      <c r="F1734">
        <v>505</v>
      </c>
    </row>
    <row r="1735" spans="1:6">
      <c r="A1735" t="s">
        <v>1811</v>
      </c>
      <c r="B1735">
        <v>2020</v>
      </c>
      <c r="C1735" s="9">
        <v>44122</v>
      </c>
      <c r="D1735" t="s">
        <v>22</v>
      </c>
      <c r="E1735" t="s">
        <v>296</v>
      </c>
      <c r="F1735">
        <v>0</v>
      </c>
    </row>
    <row r="1736" spans="1:6">
      <c r="A1736" t="s">
        <v>1812</v>
      </c>
      <c r="B1736">
        <v>2020</v>
      </c>
      <c r="C1736" s="9">
        <v>44123</v>
      </c>
      <c r="D1736" t="s">
        <v>24</v>
      </c>
      <c r="E1736" t="s">
        <v>296</v>
      </c>
      <c r="F1736">
        <v>0</v>
      </c>
    </row>
    <row r="1737" spans="1:6">
      <c r="A1737" t="s">
        <v>1813</v>
      </c>
      <c r="B1737">
        <v>2020</v>
      </c>
      <c r="C1737" s="9">
        <v>44124</v>
      </c>
      <c r="D1737" t="s">
        <v>7</v>
      </c>
      <c r="E1737" t="s">
        <v>296</v>
      </c>
      <c r="F1737">
        <v>372</v>
      </c>
    </row>
    <row r="1738" spans="1:6">
      <c r="A1738" t="s">
        <v>1814</v>
      </c>
      <c r="B1738">
        <v>2020</v>
      </c>
      <c r="C1738" s="9">
        <v>44125</v>
      </c>
      <c r="D1738" t="s">
        <v>10</v>
      </c>
      <c r="E1738" t="s">
        <v>296</v>
      </c>
      <c r="F1738">
        <v>312</v>
      </c>
    </row>
    <row r="1739" spans="1:6">
      <c r="A1739" t="s">
        <v>1815</v>
      </c>
      <c r="B1739">
        <v>2020</v>
      </c>
      <c r="C1739" s="9">
        <v>44126</v>
      </c>
      <c r="D1739" t="s">
        <v>13</v>
      </c>
      <c r="E1739" t="s">
        <v>296</v>
      </c>
      <c r="F1739">
        <v>655</v>
      </c>
    </row>
    <row r="1740" spans="1:6">
      <c r="A1740" t="s">
        <v>1816</v>
      </c>
      <c r="B1740">
        <v>2020</v>
      </c>
      <c r="C1740" s="9">
        <v>44127</v>
      </c>
      <c r="D1740" t="s">
        <v>18</v>
      </c>
      <c r="E1740" t="s">
        <v>296</v>
      </c>
      <c r="F1740">
        <v>524</v>
      </c>
    </row>
    <row r="1741" spans="1:6">
      <c r="A1741" t="s">
        <v>1817</v>
      </c>
      <c r="B1741">
        <v>2020</v>
      </c>
      <c r="C1741" s="9">
        <v>44128</v>
      </c>
      <c r="D1741" t="s">
        <v>20</v>
      </c>
      <c r="E1741" t="s">
        <v>296</v>
      </c>
      <c r="F1741">
        <v>720</v>
      </c>
    </row>
    <row r="1742" spans="1:6">
      <c r="A1742" t="s">
        <v>1818</v>
      </c>
      <c r="B1742">
        <v>2020</v>
      </c>
      <c r="C1742" s="9">
        <v>44129</v>
      </c>
      <c r="D1742" t="s">
        <v>22</v>
      </c>
      <c r="E1742" t="s">
        <v>296</v>
      </c>
      <c r="F1742">
        <v>0</v>
      </c>
    </row>
    <row r="1743" spans="1:6">
      <c r="A1743" t="s">
        <v>1819</v>
      </c>
      <c r="B1743">
        <v>2020</v>
      </c>
      <c r="C1743" s="9">
        <v>44130</v>
      </c>
      <c r="D1743" t="s">
        <v>24</v>
      </c>
      <c r="E1743" t="s">
        <v>296</v>
      </c>
      <c r="F1743">
        <v>0</v>
      </c>
    </row>
    <row r="1744" spans="1:6">
      <c r="A1744" t="s">
        <v>1820</v>
      </c>
      <c r="B1744">
        <v>2020</v>
      </c>
      <c r="C1744" s="9">
        <v>44131</v>
      </c>
      <c r="D1744" t="s">
        <v>7</v>
      </c>
      <c r="E1744" t="s">
        <v>296</v>
      </c>
      <c r="F1744">
        <v>369.8</v>
      </c>
    </row>
    <row r="1745" spans="1:6">
      <c r="A1745" t="s">
        <v>1821</v>
      </c>
      <c r="B1745">
        <v>2020</v>
      </c>
      <c r="C1745" s="9">
        <v>44132</v>
      </c>
      <c r="D1745" t="s">
        <v>10</v>
      </c>
      <c r="E1745" t="s">
        <v>296</v>
      </c>
      <c r="F1745">
        <v>435</v>
      </c>
    </row>
    <row r="1746" spans="1:6">
      <c r="A1746" t="s">
        <v>1822</v>
      </c>
      <c r="B1746">
        <v>2020</v>
      </c>
      <c r="C1746" s="9">
        <v>44133</v>
      </c>
      <c r="D1746" t="s">
        <v>13</v>
      </c>
      <c r="E1746" t="s">
        <v>296</v>
      </c>
      <c r="F1746">
        <v>588.79999999999995</v>
      </c>
    </row>
    <row r="1747" spans="1:6">
      <c r="A1747" t="s">
        <v>1823</v>
      </c>
      <c r="B1747">
        <v>2020</v>
      </c>
      <c r="C1747" s="9">
        <v>44134</v>
      </c>
      <c r="D1747" t="s">
        <v>18</v>
      </c>
      <c r="E1747" t="s">
        <v>296</v>
      </c>
      <c r="F1747">
        <v>30</v>
      </c>
    </row>
    <row r="1748" spans="1:6">
      <c r="A1748" t="s">
        <v>1824</v>
      </c>
      <c r="B1748">
        <v>2020</v>
      </c>
      <c r="C1748" s="9">
        <v>44135</v>
      </c>
      <c r="D1748" t="s">
        <v>20</v>
      </c>
      <c r="E1748" t="s">
        <v>296</v>
      </c>
      <c r="F1748">
        <v>0</v>
      </c>
    </row>
    <row r="1749" spans="1:6">
      <c r="A1749" t="s">
        <v>1825</v>
      </c>
      <c r="B1749">
        <v>2020</v>
      </c>
      <c r="C1749" s="9">
        <v>44136</v>
      </c>
      <c r="D1749" t="s">
        <v>22</v>
      </c>
      <c r="E1749" t="s">
        <v>328</v>
      </c>
      <c r="F1749">
        <v>0</v>
      </c>
    </row>
    <row r="1750" spans="1:6">
      <c r="A1750" t="s">
        <v>1826</v>
      </c>
      <c r="B1750">
        <v>2020</v>
      </c>
      <c r="C1750" s="9">
        <v>44137</v>
      </c>
      <c r="D1750" t="s">
        <v>24</v>
      </c>
      <c r="E1750" t="s">
        <v>328</v>
      </c>
      <c r="F1750">
        <v>0</v>
      </c>
    </row>
    <row r="1751" spans="1:6">
      <c r="A1751" t="s">
        <v>1827</v>
      </c>
      <c r="B1751">
        <v>2020</v>
      </c>
      <c r="C1751" s="9">
        <v>44138</v>
      </c>
      <c r="D1751" t="s">
        <v>7</v>
      </c>
      <c r="E1751" t="s">
        <v>328</v>
      </c>
      <c r="F1751">
        <v>0</v>
      </c>
    </row>
    <row r="1752" spans="1:6">
      <c r="A1752" t="s">
        <v>1828</v>
      </c>
      <c r="B1752">
        <v>2020</v>
      </c>
      <c r="C1752" s="9">
        <v>44139</v>
      </c>
      <c r="D1752" t="s">
        <v>10</v>
      </c>
      <c r="E1752" t="s">
        <v>328</v>
      </c>
      <c r="F1752">
        <v>0</v>
      </c>
    </row>
    <row r="1753" spans="1:6">
      <c r="A1753" t="s">
        <v>1829</v>
      </c>
      <c r="B1753">
        <v>2020</v>
      </c>
      <c r="C1753" s="9">
        <v>44140</v>
      </c>
      <c r="D1753" t="s">
        <v>13</v>
      </c>
      <c r="E1753" t="s">
        <v>328</v>
      </c>
      <c r="F1753">
        <v>0</v>
      </c>
    </row>
    <row r="1754" spans="1:6">
      <c r="A1754" t="s">
        <v>1830</v>
      </c>
      <c r="B1754">
        <v>2020</v>
      </c>
      <c r="C1754" s="9">
        <v>44141</v>
      </c>
      <c r="D1754" t="s">
        <v>18</v>
      </c>
      <c r="E1754" t="s">
        <v>328</v>
      </c>
      <c r="F1754">
        <v>0</v>
      </c>
    </row>
    <row r="1755" spans="1:6">
      <c r="A1755" t="s">
        <v>1831</v>
      </c>
      <c r="B1755">
        <v>2020</v>
      </c>
      <c r="C1755" s="9">
        <v>44142</v>
      </c>
      <c r="D1755" t="s">
        <v>20</v>
      </c>
      <c r="E1755" t="s">
        <v>328</v>
      </c>
      <c r="F1755">
        <v>0</v>
      </c>
    </row>
    <row r="1756" spans="1:6">
      <c r="A1756" t="s">
        <v>1832</v>
      </c>
      <c r="B1756">
        <v>2020</v>
      </c>
      <c r="C1756" s="9">
        <v>44143</v>
      </c>
      <c r="D1756" t="s">
        <v>22</v>
      </c>
      <c r="E1756" t="s">
        <v>328</v>
      </c>
      <c r="F1756">
        <v>0</v>
      </c>
    </row>
    <row r="1757" spans="1:6">
      <c r="A1757" t="s">
        <v>1833</v>
      </c>
      <c r="B1757">
        <v>2020</v>
      </c>
      <c r="C1757" s="9">
        <v>44144</v>
      </c>
      <c r="D1757" t="s">
        <v>24</v>
      </c>
      <c r="E1757" t="s">
        <v>328</v>
      </c>
      <c r="F1757">
        <v>0</v>
      </c>
    </row>
    <row r="1758" spans="1:6">
      <c r="A1758" t="s">
        <v>1834</v>
      </c>
      <c r="B1758">
        <v>2020</v>
      </c>
      <c r="C1758" s="9">
        <v>44145</v>
      </c>
      <c r="D1758" t="s">
        <v>7</v>
      </c>
      <c r="E1758" t="s">
        <v>328</v>
      </c>
      <c r="F1758">
        <v>0</v>
      </c>
    </row>
    <row r="1759" spans="1:6">
      <c r="A1759" t="s">
        <v>1835</v>
      </c>
      <c r="B1759">
        <v>2020</v>
      </c>
      <c r="C1759" s="9">
        <v>44146</v>
      </c>
      <c r="D1759" t="s">
        <v>10</v>
      </c>
      <c r="E1759" t="s">
        <v>328</v>
      </c>
      <c r="F1759">
        <v>0</v>
      </c>
    </row>
    <row r="1760" spans="1:6">
      <c r="A1760" t="s">
        <v>1836</v>
      </c>
      <c r="B1760">
        <v>2020</v>
      </c>
      <c r="C1760" s="9">
        <v>44147</v>
      </c>
      <c r="D1760" t="s">
        <v>13</v>
      </c>
      <c r="E1760" t="s">
        <v>328</v>
      </c>
      <c r="F1760">
        <v>0</v>
      </c>
    </row>
    <row r="1761" spans="1:6">
      <c r="A1761" t="s">
        <v>1837</v>
      </c>
      <c r="B1761">
        <v>2020</v>
      </c>
      <c r="C1761" s="9">
        <v>44148</v>
      </c>
      <c r="D1761" t="s">
        <v>18</v>
      </c>
      <c r="E1761" t="s">
        <v>328</v>
      </c>
      <c r="F1761">
        <v>0</v>
      </c>
    </row>
    <row r="1762" spans="1:6">
      <c r="A1762" t="s">
        <v>1838</v>
      </c>
      <c r="B1762">
        <v>2020</v>
      </c>
      <c r="C1762" s="9">
        <v>44149</v>
      </c>
      <c r="D1762" t="s">
        <v>20</v>
      </c>
      <c r="E1762" t="s">
        <v>328</v>
      </c>
      <c r="F1762">
        <v>0</v>
      </c>
    </row>
    <row r="1763" spans="1:6">
      <c r="A1763" t="s">
        <v>1839</v>
      </c>
      <c r="B1763">
        <v>2020</v>
      </c>
      <c r="C1763" s="9">
        <v>44150</v>
      </c>
      <c r="D1763" t="s">
        <v>22</v>
      </c>
      <c r="E1763" t="s">
        <v>328</v>
      </c>
      <c r="F1763">
        <v>0</v>
      </c>
    </row>
    <row r="1764" spans="1:6">
      <c r="A1764" t="s">
        <v>1840</v>
      </c>
      <c r="B1764">
        <v>2020</v>
      </c>
      <c r="C1764" s="9">
        <v>44151</v>
      </c>
      <c r="D1764" t="s">
        <v>24</v>
      </c>
      <c r="E1764" t="s">
        <v>328</v>
      </c>
      <c r="F1764">
        <v>0</v>
      </c>
    </row>
    <row r="1765" spans="1:6">
      <c r="A1765" t="s">
        <v>1841</v>
      </c>
      <c r="B1765">
        <v>2020</v>
      </c>
      <c r="C1765" s="9">
        <v>44152</v>
      </c>
      <c r="D1765" t="s">
        <v>7</v>
      </c>
      <c r="E1765" t="s">
        <v>328</v>
      </c>
      <c r="F1765">
        <v>0</v>
      </c>
    </row>
    <row r="1766" spans="1:6">
      <c r="A1766" t="s">
        <v>1842</v>
      </c>
      <c r="B1766">
        <v>2020</v>
      </c>
      <c r="C1766" s="9">
        <v>44153</v>
      </c>
      <c r="D1766" t="s">
        <v>10</v>
      </c>
      <c r="E1766" t="s">
        <v>328</v>
      </c>
      <c r="F1766">
        <v>0</v>
      </c>
    </row>
    <row r="1767" spans="1:6">
      <c r="A1767" t="s">
        <v>1843</v>
      </c>
      <c r="B1767">
        <v>2020</v>
      </c>
      <c r="C1767" s="9">
        <v>44154</v>
      </c>
      <c r="D1767" t="s">
        <v>13</v>
      </c>
      <c r="E1767" t="s">
        <v>328</v>
      </c>
      <c r="F1767">
        <v>0</v>
      </c>
    </row>
    <row r="1768" spans="1:6">
      <c r="A1768" t="s">
        <v>1844</v>
      </c>
      <c r="B1768">
        <v>2020</v>
      </c>
      <c r="C1768" s="9">
        <v>44155</v>
      </c>
      <c r="D1768" t="s">
        <v>18</v>
      </c>
      <c r="E1768" t="s">
        <v>328</v>
      </c>
      <c r="F1768">
        <v>0</v>
      </c>
    </row>
    <row r="1769" spans="1:6">
      <c r="A1769" t="s">
        <v>1845</v>
      </c>
      <c r="B1769">
        <v>2020</v>
      </c>
      <c r="C1769" s="9">
        <v>44156</v>
      </c>
      <c r="D1769" t="s">
        <v>20</v>
      </c>
      <c r="E1769" t="s">
        <v>328</v>
      </c>
      <c r="F1769">
        <v>0</v>
      </c>
    </row>
    <row r="1770" spans="1:6">
      <c r="A1770" t="s">
        <v>1846</v>
      </c>
      <c r="B1770">
        <v>2020</v>
      </c>
      <c r="C1770" s="9">
        <v>44157</v>
      </c>
      <c r="D1770" t="s">
        <v>22</v>
      </c>
      <c r="E1770" t="s">
        <v>328</v>
      </c>
      <c r="F1770">
        <v>0</v>
      </c>
    </row>
    <row r="1771" spans="1:6">
      <c r="A1771" t="s">
        <v>1847</v>
      </c>
      <c r="B1771">
        <v>2020</v>
      </c>
      <c r="C1771" s="9">
        <v>44158</v>
      </c>
      <c r="D1771" t="s">
        <v>24</v>
      </c>
      <c r="E1771" t="s">
        <v>328</v>
      </c>
      <c r="F1771">
        <v>0</v>
      </c>
    </row>
    <row r="1772" spans="1:6">
      <c r="A1772" t="s">
        <v>1848</v>
      </c>
      <c r="B1772">
        <v>2020</v>
      </c>
      <c r="C1772" s="9">
        <v>44159</v>
      </c>
      <c r="D1772" t="s">
        <v>7</v>
      </c>
      <c r="E1772" t="s">
        <v>328</v>
      </c>
      <c r="F1772">
        <v>0</v>
      </c>
    </row>
    <row r="1773" spans="1:6">
      <c r="A1773" t="s">
        <v>1849</v>
      </c>
      <c r="B1773">
        <v>2020</v>
      </c>
      <c r="C1773" s="9">
        <v>44160</v>
      </c>
      <c r="D1773" t="s">
        <v>10</v>
      </c>
      <c r="E1773" t="s">
        <v>328</v>
      </c>
      <c r="F1773">
        <v>0</v>
      </c>
    </row>
    <row r="1774" spans="1:6">
      <c r="A1774" t="s">
        <v>1850</v>
      </c>
      <c r="B1774">
        <v>2020</v>
      </c>
      <c r="C1774" s="9">
        <v>44161</v>
      </c>
      <c r="D1774" t="s">
        <v>13</v>
      </c>
      <c r="E1774" t="s">
        <v>328</v>
      </c>
      <c r="F1774">
        <v>0</v>
      </c>
    </row>
    <row r="1775" spans="1:6">
      <c r="A1775" t="s">
        <v>1851</v>
      </c>
      <c r="B1775">
        <v>2020</v>
      </c>
      <c r="C1775" s="9">
        <v>44162</v>
      </c>
      <c r="D1775" t="s">
        <v>18</v>
      </c>
      <c r="E1775" t="s">
        <v>328</v>
      </c>
      <c r="F1775">
        <v>0</v>
      </c>
    </row>
    <row r="1776" spans="1:6">
      <c r="A1776" t="s">
        <v>1852</v>
      </c>
      <c r="B1776">
        <v>2020</v>
      </c>
      <c r="C1776" s="9">
        <v>44163</v>
      </c>
      <c r="D1776" t="s">
        <v>20</v>
      </c>
      <c r="E1776" t="s">
        <v>328</v>
      </c>
      <c r="F1776">
        <v>910</v>
      </c>
    </row>
    <row r="1777" spans="1:6">
      <c r="A1777" t="s">
        <v>1853</v>
      </c>
      <c r="B1777">
        <v>2020</v>
      </c>
      <c r="C1777" s="9">
        <v>44164</v>
      </c>
      <c r="D1777" t="s">
        <v>22</v>
      </c>
      <c r="E1777" t="s">
        <v>328</v>
      </c>
      <c r="F1777">
        <v>385</v>
      </c>
    </row>
    <row r="1778" spans="1:6">
      <c r="A1778" t="s">
        <v>1854</v>
      </c>
      <c r="B1778">
        <v>2020</v>
      </c>
      <c r="C1778" s="9">
        <v>44165</v>
      </c>
      <c r="D1778" t="s">
        <v>24</v>
      </c>
      <c r="E1778" t="s">
        <v>328</v>
      </c>
      <c r="F1778">
        <v>0</v>
      </c>
    </row>
    <row r="1779" spans="1:6">
      <c r="A1779" t="s">
        <v>1855</v>
      </c>
      <c r="B1779">
        <v>2020</v>
      </c>
      <c r="C1779" s="9">
        <v>44166</v>
      </c>
      <c r="D1779" t="s">
        <v>7</v>
      </c>
      <c r="E1779" t="s">
        <v>358</v>
      </c>
      <c r="F1779">
        <v>1370</v>
      </c>
    </row>
    <row r="1780" spans="1:6">
      <c r="A1780" t="s">
        <v>1856</v>
      </c>
      <c r="B1780">
        <v>2020</v>
      </c>
      <c r="C1780" s="9">
        <v>44167</v>
      </c>
      <c r="D1780" t="s">
        <v>10</v>
      </c>
      <c r="E1780" t="s">
        <v>358</v>
      </c>
      <c r="F1780">
        <v>956</v>
      </c>
    </row>
    <row r="1781" spans="1:6">
      <c r="A1781" t="s">
        <v>1857</v>
      </c>
      <c r="B1781">
        <v>2020</v>
      </c>
      <c r="C1781" s="9">
        <v>44168</v>
      </c>
      <c r="D1781" t="s">
        <v>13</v>
      </c>
      <c r="E1781" t="s">
        <v>358</v>
      </c>
      <c r="F1781">
        <v>1324</v>
      </c>
    </row>
    <row r="1782" spans="1:6">
      <c r="A1782" t="s">
        <v>1858</v>
      </c>
      <c r="B1782">
        <v>2020</v>
      </c>
      <c r="C1782" s="9">
        <v>44169</v>
      </c>
      <c r="D1782" t="s">
        <v>18</v>
      </c>
      <c r="E1782" t="s">
        <v>358</v>
      </c>
      <c r="F1782">
        <v>1019</v>
      </c>
    </row>
    <row r="1783" spans="1:6">
      <c r="A1783" t="s">
        <v>1859</v>
      </c>
      <c r="B1783">
        <v>2020</v>
      </c>
      <c r="C1783" s="9">
        <v>44170</v>
      </c>
      <c r="D1783" t="s">
        <v>20</v>
      </c>
      <c r="E1783" t="s">
        <v>358</v>
      </c>
      <c r="F1783">
        <v>1203</v>
      </c>
    </row>
    <row r="1784" spans="1:6">
      <c r="A1784" t="s">
        <v>1860</v>
      </c>
      <c r="B1784">
        <v>2020</v>
      </c>
      <c r="C1784" s="9">
        <v>44171</v>
      </c>
      <c r="D1784" t="s">
        <v>22</v>
      </c>
      <c r="E1784" t="s">
        <v>358</v>
      </c>
      <c r="F1784">
        <v>378</v>
      </c>
    </row>
    <row r="1785" spans="1:6">
      <c r="A1785" t="s">
        <v>1861</v>
      </c>
      <c r="B1785">
        <v>2020</v>
      </c>
      <c r="C1785" s="9">
        <v>44172</v>
      </c>
      <c r="D1785" t="s">
        <v>24</v>
      </c>
      <c r="E1785" t="s">
        <v>358</v>
      </c>
      <c r="F1785">
        <v>0</v>
      </c>
    </row>
    <row r="1786" spans="1:6">
      <c r="A1786" t="s">
        <v>1862</v>
      </c>
      <c r="B1786">
        <v>2020</v>
      </c>
      <c r="C1786" s="9">
        <v>44173</v>
      </c>
      <c r="D1786" t="s">
        <v>7</v>
      </c>
      <c r="E1786" t="s">
        <v>358</v>
      </c>
      <c r="F1786">
        <v>998</v>
      </c>
    </row>
    <row r="1787" spans="1:6">
      <c r="A1787" t="s">
        <v>1863</v>
      </c>
      <c r="B1787">
        <v>2020</v>
      </c>
      <c r="C1787" s="9">
        <v>44174</v>
      </c>
      <c r="D1787" t="s">
        <v>10</v>
      </c>
      <c r="E1787" t="s">
        <v>358</v>
      </c>
      <c r="F1787">
        <v>1102.8</v>
      </c>
    </row>
    <row r="1788" spans="1:6">
      <c r="A1788" t="s">
        <v>1864</v>
      </c>
      <c r="B1788">
        <v>2020</v>
      </c>
      <c r="C1788" s="9">
        <v>44175</v>
      </c>
      <c r="D1788" t="s">
        <v>13</v>
      </c>
      <c r="E1788" t="s">
        <v>358</v>
      </c>
      <c r="F1788">
        <v>929</v>
      </c>
    </row>
    <row r="1789" spans="1:6">
      <c r="A1789" t="s">
        <v>1865</v>
      </c>
      <c r="B1789">
        <v>2020</v>
      </c>
      <c r="C1789" s="9">
        <v>44176</v>
      </c>
      <c r="D1789" t="s">
        <v>18</v>
      </c>
      <c r="E1789" t="s">
        <v>358</v>
      </c>
      <c r="F1789">
        <v>1426</v>
      </c>
    </row>
    <row r="1790" spans="1:6">
      <c r="A1790" t="s">
        <v>1866</v>
      </c>
      <c r="B1790">
        <v>2020</v>
      </c>
      <c r="C1790" s="9">
        <v>44177</v>
      </c>
      <c r="D1790" t="s">
        <v>20</v>
      </c>
      <c r="E1790" t="s">
        <v>358</v>
      </c>
      <c r="F1790">
        <v>1048</v>
      </c>
    </row>
    <row r="1791" spans="1:6">
      <c r="A1791" t="s">
        <v>1867</v>
      </c>
      <c r="B1791">
        <v>2020</v>
      </c>
      <c r="C1791" s="9">
        <v>44178</v>
      </c>
      <c r="D1791" t="s">
        <v>22</v>
      </c>
      <c r="E1791" t="s">
        <v>358</v>
      </c>
      <c r="F1791">
        <v>0</v>
      </c>
    </row>
    <row r="1792" spans="1:6">
      <c r="A1792" t="s">
        <v>1868</v>
      </c>
      <c r="B1792">
        <v>2020</v>
      </c>
      <c r="C1792" s="9">
        <v>44179</v>
      </c>
      <c r="D1792" t="s">
        <v>24</v>
      </c>
      <c r="E1792" t="s">
        <v>358</v>
      </c>
      <c r="F1792">
        <v>0</v>
      </c>
    </row>
    <row r="1793" spans="1:6">
      <c r="A1793" t="s">
        <v>1869</v>
      </c>
      <c r="B1793">
        <v>2020</v>
      </c>
      <c r="C1793" s="9">
        <v>44180</v>
      </c>
      <c r="D1793" t="s">
        <v>7</v>
      </c>
      <c r="E1793" t="s">
        <v>358</v>
      </c>
      <c r="F1793">
        <v>1319</v>
      </c>
    </row>
    <row r="1794" spans="1:6">
      <c r="A1794" t="s">
        <v>1870</v>
      </c>
      <c r="B1794">
        <v>2020</v>
      </c>
      <c r="C1794" s="9">
        <v>44181</v>
      </c>
      <c r="D1794" t="s">
        <v>10</v>
      </c>
      <c r="E1794" t="s">
        <v>358</v>
      </c>
      <c r="F1794">
        <v>1356</v>
      </c>
    </row>
    <row r="1795" spans="1:6">
      <c r="A1795" t="s">
        <v>1871</v>
      </c>
      <c r="B1795">
        <v>2020</v>
      </c>
      <c r="C1795" s="9">
        <v>44182</v>
      </c>
      <c r="D1795" t="s">
        <v>13</v>
      </c>
      <c r="E1795" t="s">
        <v>358</v>
      </c>
      <c r="F1795">
        <v>1069</v>
      </c>
    </row>
    <row r="1796" spans="1:6">
      <c r="A1796" t="s">
        <v>1872</v>
      </c>
      <c r="B1796">
        <v>2020</v>
      </c>
      <c r="C1796" s="9">
        <v>44183</v>
      </c>
      <c r="D1796" t="s">
        <v>18</v>
      </c>
      <c r="E1796" t="s">
        <v>358</v>
      </c>
      <c r="F1796">
        <v>828</v>
      </c>
    </row>
    <row r="1797" spans="1:6">
      <c r="A1797" t="s">
        <v>1873</v>
      </c>
      <c r="B1797">
        <v>2020</v>
      </c>
      <c r="C1797" s="9">
        <v>44184</v>
      </c>
      <c r="D1797" t="s">
        <v>20</v>
      </c>
      <c r="E1797" t="s">
        <v>358</v>
      </c>
      <c r="F1797">
        <v>1449</v>
      </c>
    </row>
    <row r="1798" spans="1:6">
      <c r="A1798" t="s">
        <v>1874</v>
      </c>
      <c r="B1798">
        <v>2020</v>
      </c>
      <c r="C1798" s="9">
        <v>44187</v>
      </c>
      <c r="D1798" t="s">
        <v>7</v>
      </c>
      <c r="E1798" t="s">
        <v>358</v>
      </c>
      <c r="F1798">
        <v>1095</v>
      </c>
    </row>
    <row r="1799" spans="1:6">
      <c r="A1799" t="s">
        <v>1875</v>
      </c>
      <c r="B1799">
        <v>2020</v>
      </c>
      <c r="C1799" s="9">
        <v>44185</v>
      </c>
      <c r="D1799" t="s">
        <v>22</v>
      </c>
      <c r="E1799" t="s">
        <v>358</v>
      </c>
      <c r="F1799">
        <v>0</v>
      </c>
    </row>
    <row r="1800" spans="1:6">
      <c r="A1800" t="s">
        <v>1876</v>
      </c>
      <c r="B1800">
        <v>2020</v>
      </c>
      <c r="C1800" s="9">
        <v>44186</v>
      </c>
      <c r="D1800" t="s">
        <v>24</v>
      </c>
      <c r="E1800" t="s">
        <v>358</v>
      </c>
      <c r="F1800">
        <v>1167</v>
      </c>
    </row>
    <row r="1801" spans="1:6">
      <c r="A1801" t="s">
        <v>1877</v>
      </c>
      <c r="B1801">
        <v>2020</v>
      </c>
      <c r="C1801" s="9">
        <v>44188</v>
      </c>
      <c r="D1801" t="s">
        <v>10</v>
      </c>
      <c r="E1801" t="s">
        <v>358</v>
      </c>
      <c r="F1801">
        <v>1242</v>
      </c>
    </row>
    <row r="1802" spans="1:6">
      <c r="A1802" t="s">
        <v>1878</v>
      </c>
      <c r="B1802">
        <v>2020</v>
      </c>
      <c r="C1802" s="9">
        <v>44189</v>
      </c>
      <c r="D1802" t="s">
        <v>13</v>
      </c>
      <c r="E1802" t="s">
        <v>358</v>
      </c>
      <c r="F1802">
        <v>665</v>
      </c>
    </row>
    <row r="1803" spans="1:6">
      <c r="A1803" t="s">
        <v>1879</v>
      </c>
      <c r="B1803">
        <v>2020</v>
      </c>
      <c r="C1803" s="9">
        <v>44190</v>
      </c>
      <c r="D1803" t="s">
        <v>18</v>
      </c>
      <c r="E1803" t="s">
        <v>358</v>
      </c>
      <c r="F1803">
        <v>0</v>
      </c>
    </row>
    <row r="1804" spans="1:6">
      <c r="A1804" t="s">
        <v>1880</v>
      </c>
      <c r="B1804">
        <v>2020</v>
      </c>
      <c r="C1804" s="9">
        <v>44191</v>
      </c>
      <c r="D1804" t="s">
        <v>20</v>
      </c>
      <c r="E1804" t="s">
        <v>358</v>
      </c>
      <c r="F1804">
        <v>0</v>
      </c>
    </row>
    <row r="1805" spans="1:6">
      <c r="A1805" t="s">
        <v>1881</v>
      </c>
      <c r="B1805">
        <v>2020</v>
      </c>
      <c r="C1805" s="9">
        <v>44192</v>
      </c>
      <c r="D1805" t="s">
        <v>22</v>
      </c>
      <c r="E1805" t="s">
        <v>358</v>
      </c>
      <c r="F1805">
        <v>0</v>
      </c>
    </row>
    <row r="1806" spans="1:6">
      <c r="A1806" t="s">
        <v>1882</v>
      </c>
      <c r="B1806">
        <v>2020</v>
      </c>
      <c r="C1806" s="9">
        <v>44193</v>
      </c>
      <c r="D1806" t="s">
        <v>24</v>
      </c>
      <c r="E1806" t="s">
        <v>358</v>
      </c>
      <c r="F1806">
        <v>575</v>
      </c>
    </row>
    <row r="1807" spans="1:6">
      <c r="A1807" t="s">
        <v>1883</v>
      </c>
      <c r="B1807">
        <v>2020</v>
      </c>
      <c r="C1807" s="9">
        <v>44194</v>
      </c>
      <c r="D1807" t="s">
        <v>7</v>
      </c>
      <c r="E1807" t="s">
        <v>358</v>
      </c>
      <c r="F1807">
        <v>965</v>
      </c>
    </row>
    <row r="1808" spans="1:6">
      <c r="A1808" t="s">
        <v>1884</v>
      </c>
      <c r="B1808">
        <v>2020</v>
      </c>
      <c r="C1808" s="9">
        <v>44195</v>
      </c>
      <c r="D1808" t="s">
        <v>10</v>
      </c>
      <c r="E1808" t="s">
        <v>358</v>
      </c>
      <c r="F1808">
        <v>509</v>
      </c>
    </row>
    <row r="1809" spans="1:6">
      <c r="A1809" t="s">
        <v>1885</v>
      </c>
      <c r="B1809">
        <v>2020</v>
      </c>
      <c r="C1809" s="9">
        <v>44196</v>
      </c>
      <c r="D1809" t="s">
        <v>13</v>
      </c>
      <c r="E1809" t="s">
        <v>358</v>
      </c>
      <c r="F1809">
        <v>433</v>
      </c>
    </row>
    <row r="1810" spans="1:6">
      <c r="A1810" t="s">
        <v>1886</v>
      </c>
      <c r="B1810">
        <v>2021</v>
      </c>
      <c r="C1810" s="9">
        <v>44197</v>
      </c>
      <c r="D1810" t="s">
        <v>18</v>
      </c>
      <c r="E1810" t="s">
        <v>15</v>
      </c>
      <c r="F1810">
        <v>0</v>
      </c>
    </row>
    <row r="1811" spans="1:6">
      <c r="A1811" t="s">
        <v>1887</v>
      </c>
      <c r="B1811">
        <v>2021</v>
      </c>
      <c r="C1811" s="9">
        <v>44198</v>
      </c>
      <c r="D1811" t="s">
        <v>20</v>
      </c>
      <c r="E1811" t="s">
        <v>15</v>
      </c>
      <c r="F1811">
        <v>0</v>
      </c>
    </row>
    <row r="1812" spans="1:6">
      <c r="A1812" t="s">
        <v>1888</v>
      </c>
      <c r="B1812">
        <v>2021</v>
      </c>
      <c r="C1812" s="9">
        <v>44199</v>
      </c>
      <c r="D1812" t="s">
        <v>22</v>
      </c>
      <c r="E1812" t="s">
        <v>15</v>
      </c>
      <c r="F1812">
        <v>0</v>
      </c>
    </row>
    <row r="1813" spans="1:6">
      <c r="A1813" t="s">
        <v>1889</v>
      </c>
      <c r="B1813">
        <v>2021</v>
      </c>
      <c r="C1813" s="9">
        <v>44200</v>
      </c>
      <c r="D1813" t="s">
        <v>24</v>
      </c>
      <c r="E1813" t="s">
        <v>15</v>
      </c>
      <c r="F1813">
        <v>0</v>
      </c>
    </row>
    <row r="1814" spans="1:6">
      <c r="A1814" t="s">
        <v>1890</v>
      </c>
      <c r="B1814">
        <v>2021</v>
      </c>
      <c r="C1814" s="9">
        <v>44201</v>
      </c>
      <c r="D1814" t="s">
        <v>7</v>
      </c>
      <c r="E1814" t="s">
        <v>15</v>
      </c>
      <c r="F1814">
        <v>778</v>
      </c>
    </row>
    <row r="1815" spans="1:6">
      <c r="A1815" t="s">
        <v>1891</v>
      </c>
      <c r="B1815">
        <v>2021</v>
      </c>
      <c r="C1815" s="9">
        <v>44202</v>
      </c>
      <c r="D1815" t="s">
        <v>10</v>
      </c>
      <c r="E1815" t="s">
        <v>15</v>
      </c>
      <c r="F1815">
        <v>909</v>
      </c>
    </row>
    <row r="1816" spans="1:6">
      <c r="A1816" t="s">
        <v>1892</v>
      </c>
      <c r="B1816">
        <v>2021</v>
      </c>
      <c r="C1816" s="9">
        <v>44203</v>
      </c>
      <c r="D1816" t="s">
        <v>13</v>
      </c>
      <c r="E1816" t="s">
        <v>15</v>
      </c>
      <c r="F1816">
        <v>989</v>
      </c>
    </row>
    <row r="1817" spans="1:6">
      <c r="A1817" t="s">
        <v>1893</v>
      </c>
      <c r="B1817">
        <v>2021</v>
      </c>
      <c r="C1817" s="9">
        <v>44204</v>
      </c>
      <c r="D1817" t="s">
        <v>18</v>
      </c>
      <c r="E1817" t="s">
        <v>15</v>
      </c>
      <c r="F1817">
        <v>877.2</v>
      </c>
    </row>
    <row r="1818" spans="1:6">
      <c r="A1818" t="s">
        <v>1894</v>
      </c>
      <c r="B1818">
        <v>2021</v>
      </c>
      <c r="C1818" s="9">
        <v>44205</v>
      </c>
      <c r="D1818" t="s">
        <v>20</v>
      </c>
      <c r="E1818" t="s">
        <v>15</v>
      </c>
      <c r="F1818">
        <v>767</v>
      </c>
    </row>
    <row r="1819" spans="1:6">
      <c r="A1819" t="s">
        <v>1895</v>
      </c>
      <c r="B1819">
        <v>2021</v>
      </c>
      <c r="C1819" s="9">
        <v>44206</v>
      </c>
      <c r="D1819" t="s">
        <v>22</v>
      </c>
      <c r="E1819" t="s">
        <v>15</v>
      </c>
      <c r="F1819">
        <v>0</v>
      </c>
    </row>
    <row r="1820" spans="1:6">
      <c r="A1820" t="s">
        <v>1896</v>
      </c>
      <c r="B1820">
        <v>2021</v>
      </c>
      <c r="C1820" s="9">
        <v>44207</v>
      </c>
      <c r="D1820" t="s">
        <v>24</v>
      </c>
      <c r="E1820" t="s">
        <v>15</v>
      </c>
      <c r="F1820">
        <v>0</v>
      </c>
    </row>
    <row r="1821" spans="1:6">
      <c r="A1821" t="s">
        <v>1897</v>
      </c>
      <c r="B1821">
        <v>2021</v>
      </c>
      <c r="C1821" s="9">
        <v>44208</v>
      </c>
      <c r="D1821" t="s">
        <v>7</v>
      </c>
      <c r="E1821" t="s">
        <v>15</v>
      </c>
      <c r="F1821">
        <v>598</v>
      </c>
    </row>
    <row r="1822" spans="1:6">
      <c r="A1822" t="s">
        <v>1898</v>
      </c>
      <c r="B1822">
        <v>2021</v>
      </c>
      <c r="C1822" s="9">
        <v>44209</v>
      </c>
      <c r="D1822" t="s">
        <v>10</v>
      </c>
      <c r="E1822" t="s">
        <v>15</v>
      </c>
      <c r="F1822">
        <v>254</v>
      </c>
    </row>
    <row r="1823" spans="1:6">
      <c r="A1823" t="s">
        <v>1899</v>
      </c>
      <c r="B1823">
        <v>2021</v>
      </c>
      <c r="C1823" s="9">
        <v>44210</v>
      </c>
      <c r="D1823" t="s">
        <v>13</v>
      </c>
      <c r="E1823" t="s">
        <v>15</v>
      </c>
      <c r="F1823">
        <v>529</v>
      </c>
    </row>
    <row r="1824" spans="1:6">
      <c r="A1824" t="s">
        <v>1900</v>
      </c>
      <c r="B1824">
        <v>2021</v>
      </c>
      <c r="C1824" s="9">
        <v>44211</v>
      </c>
      <c r="D1824" t="s">
        <v>18</v>
      </c>
      <c r="E1824" t="s">
        <v>15</v>
      </c>
      <c r="F1824">
        <v>534</v>
      </c>
    </row>
    <row r="1825" spans="1:6">
      <c r="A1825" t="s">
        <v>1901</v>
      </c>
      <c r="B1825">
        <v>2021</v>
      </c>
      <c r="C1825" s="9">
        <v>44212</v>
      </c>
      <c r="D1825" t="s">
        <v>20</v>
      </c>
      <c r="E1825" t="s">
        <v>15</v>
      </c>
      <c r="F1825">
        <v>549</v>
      </c>
    </row>
    <row r="1826" spans="1:6">
      <c r="A1826" t="s">
        <v>1902</v>
      </c>
      <c r="B1826">
        <v>2021</v>
      </c>
      <c r="C1826" s="9">
        <v>44213</v>
      </c>
      <c r="D1826" t="s">
        <v>22</v>
      </c>
      <c r="E1826" t="s">
        <v>15</v>
      </c>
      <c r="F1826">
        <v>0</v>
      </c>
    </row>
    <row r="1827" spans="1:6">
      <c r="A1827" t="s">
        <v>1903</v>
      </c>
      <c r="B1827">
        <v>2021</v>
      </c>
      <c r="C1827" s="9">
        <v>44214</v>
      </c>
      <c r="D1827" t="s">
        <v>24</v>
      </c>
      <c r="E1827" t="s">
        <v>15</v>
      </c>
      <c r="F1827">
        <v>0</v>
      </c>
    </row>
    <row r="1828" spans="1:6">
      <c r="A1828" t="s">
        <v>1904</v>
      </c>
      <c r="B1828">
        <v>2021</v>
      </c>
      <c r="C1828" s="9">
        <v>44215</v>
      </c>
      <c r="D1828" t="s">
        <v>7</v>
      </c>
      <c r="E1828" t="s">
        <v>15</v>
      </c>
      <c r="F1828">
        <v>896</v>
      </c>
    </row>
    <row r="1829" spans="1:6">
      <c r="A1829" t="s">
        <v>1905</v>
      </c>
      <c r="B1829">
        <v>2021</v>
      </c>
      <c r="C1829" s="9">
        <v>44216</v>
      </c>
      <c r="D1829" t="s">
        <v>10</v>
      </c>
      <c r="E1829" t="s">
        <v>15</v>
      </c>
      <c r="F1829">
        <v>0</v>
      </c>
    </row>
    <row r="1830" spans="1:6">
      <c r="A1830" t="s">
        <v>1906</v>
      </c>
      <c r="B1830">
        <v>2021</v>
      </c>
      <c r="C1830" s="9">
        <v>44217</v>
      </c>
      <c r="D1830" t="s">
        <v>13</v>
      </c>
      <c r="E1830" t="s">
        <v>15</v>
      </c>
      <c r="F1830">
        <v>610</v>
      </c>
    </row>
    <row r="1831" spans="1:6">
      <c r="A1831" t="s">
        <v>1907</v>
      </c>
      <c r="B1831">
        <v>2021</v>
      </c>
      <c r="C1831" s="9">
        <v>44218</v>
      </c>
      <c r="D1831" t="s">
        <v>18</v>
      </c>
      <c r="E1831" t="s">
        <v>15</v>
      </c>
      <c r="F1831">
        <v>461</v>
      </c>
    </row>
    <row r="1832" spans="1:6">
      <c r="A1832" t="s">
        <v>1908</v>
      </c>
      <c r="B1832">
        <v>2021</v>
      </c>
      <c r="C1832" s="9">
        <v>44219</v>
      </c>
      <c r="D1832" t="s">
        <v>20</v>
      </c>
      <c r="E1832" t="s">
        <v>15</v>
      </c>
      <c r="F1832">
        <v>536.79999999999995</v>
      </c>
    </row>
    <row r="1833" spans="1:6">
      <c r="A1833" t="s">
        <v>1909</v>
      </c>
      <c r="B1833">
        <v>2021</v>
      </c>
      <c r="C1833" s="9">
        <v>44220</v>
      </c>
      <c r="D1833" t="s">
        <v>22</v>
      </c>
      <c r="E1833" t="s">
        <v>15</v>
      </c>
      <c r="F1833">
        <v>0</v>
      </c>
    </row>
    <row r="1834" spans="1:6">
      <c r="A1834" t="s">
        <v>1910</v>
      </c>
      <c r="B1834">
        <v>2021</v>
      </c>
      <c r="C1834" s="9">
        <v>44221</v>
      </c>
      <c r="D1834" t="s">
        <v>24</v>
      </c>
      <c r="E1834" t="s">
        <v>15</v>
      </c>
      <c r="F1834">
        <v>0</v>
      </c>
    </row>
    <row r="1835" spans="1:6">
      <c r="A1835" t="s">
        <v>1911</v>
      </c>
      <c r="B1835">
        <v>2021</v>
      </c>
      <c r="C1835" s="9">
        <v>44222</v>
      </c>
      <c r="D1835" t="s">
        <v>7</v>
      </c>
      <c r="E1835" t="s">
        <v>15</v>
      </c>
      <c r="F1835">
        <v>926</v>
      </c>
    </row>
    <row r="1836" spans="1:6">
      <c r="A1836" t="s">
        <v>1912</v>
      </c>
      <c r="B1836">
        <v>2021</v>
      </c>
      <c r="C1836" s="9">
        <v>44223</v>
      </c>
      <c r="D1836" t="s">
        <v>10</v>
      </c>
      <c r="E1836" t="s">
        <v>15</v>
      </c>
      <c r="F1836">
        <v>584</v>
      </c>
    </row>
    <row r="1837" spans="1:6">
      <c r="A1837" t="s">
        <v>1913</v>
      </c>
      <c r="B1837">
        <v>2021</v>
      </c>
      <c r="C1837" s="9">
        <v>44224</v>
      </c>
      <c r="D1837" t="s">
        <v>13</v>
      </c>
      <c r="E1837" t="s">
        <v>15</v>
      </c>
      <c r="F1837">
        <v>960</v>
      </c>
    </row>
    <row r="1838" spans="1:6">
      <c r="A1838" t="s">
        <v>1914</v>
      </c>
      <c r="B1838">
        <v>2021</v>
      </c>
      <c r="C1838" s="9">
        <v>44225</v>
      </c>
      <c r="D1838" t="s">
        <v>18</v>
      </c>
      <c r="E1838" t="s">
        <v>15</v>
      </c>
      <c r="F1838">
        <v>721.5</v>
      </c>
    </row>
    <row r="1839" spans="1:6">
      <c r="A1839" t="s">
        <v>1915</v>
      </c>
      <c r="B1839">
        <v>2021</v>
      </c>
      <c r="C1839" s="9">
        <v>44226</v>
      </c>
      <c r="D1839" t="s">
        <v>20</v>
      </c>
      <c r="E1839" t="s">
        <v>15</v>
      </c>
      <c r="F1839">
        <v>693</v>
      </c>
    </row>
    <row r="1840" spans="1:6">
      <c r="A1840" t="s">
        <v>1916</v>
      </c>
      <c r="B1840">
        <v>2021</v>
      </c>
      <c r="C1840" s="9">
        <v>44227</v>
      </c>
      <c r="D1840" t="s">
        <v>22</v>
      </c>
      <c r="E1840" t="s">
        <v>15</v>
      </c>
      <c r="F1840">
        <v>0</v>
      </c>
    </row>
    <row r="1841" spans="1:6">
      <c r="A1841" t="s">
        <v>1917</v>
      </c>
      <c r="B1841">
        <v>2021</v>
      </c>
      <c r="C1841" s="9">
        <v>44228</v>
      </c>
      <c r="D1841" t="s">
        <v>24</v>
      </c>
      <c r="E1841" t="s">
        <v>51</v>
      </c>
      <c r="F1841">
        <v>0</v>
      </c>
    </row>
    <row r="1842" spans="1:6">
      <c r="A1842" t="s">
        <v>1918</v>
      </c>
      <c r="B1842">
        <v>2021</v>
      </c>
      <c r="C1842" s="9">
        <v>44229</v>
      </c>
      <c r="D1842" t="s">
        <v>7</v>
      </c>
      <c r="E1842" t="s">
        <v>51</v>
      </c>
      <c r="F1842">
        <v>693</v>
      </c>
    </row>
    <row r="1843" spans="1:6">
      <c r="A1843" t="s">
        <v>1919</v>
      </c>
      <c r="B1843">
        <v>2021</v>
      </c>
      <c r="C1843" s="9">
        <v>44230</v>
      </c>
      <c r="D1843" t="s">
        <v>10</v>
      </c>
      <c r="E1843" t="s">
        <v>51</v>
      </c>
      <c r="F1843">
        <v>1055</v>
      </c>
    </row>
    <row r="1844" spans="1:6">
      <c r="A1844" t="s">
        <v>1920</v>
      </c>
      <c r="B1844">
        <v>2021</v>
      </c>
      <c r="C1844" s="9">
        <v>44231</v>
      </c>
      <c r="D1844" t="s">
        <v>13</v>
      </c>
      <c r="E1844" t="s">
        <v>51</v>
      </c>
      <c r="F1844">
        <v>820</v>
      </c>
    </row>
    <row r="1845" spans="1:6">
      <c r="A1845" t="s">
        <v>1921</v>
      </c>
      <c r="B1845">
        <v>2021</v>
      </c>
      <c r="C1845" s="9">
        <v>44232</v>
      </c>
      <c r="D1845" t="s">
        <v>18</v>
      </c>
      <c r="E1845" t="s">
        <v>51</v>
      </c>
      <c r="F1845">
        <v>851</v>
      </c>
    </row>
    <row r="1846" spans="1:6">
      <c r="A1846" t="s">
        <v>1922</v>
      </c>
      <c r="B1846">
        <v>2021</v>
      </c>
      <c r="C1846" s="9">
        <v>44233</v>
      </c>
      <c r="D1846" t="s">
        <v>20</v>
      </c>
      <c r="E1846" t="s">
        <v>51</v>
      </c>
      <c r="F1846">
        <v>940.6</v>
      </c>
    </row>
    <row r="1847" spans="1:6">
      <c r="A1847" t="s">
        <v>1923</v>
      </c>
      <c r="B1847">
        <v>2021</v>
      </c>
      <c r="C1847" s="9">
        <v>44234</v>
      </c>
      <c r="D1847" t="s">
        <v>22</v>
      </c>
      <c r="E1847" t="s">
        <v>51</v>
      </c>
      <c r="F1847">
        <v>0</v>
      </c>
    </row>
    <row r="1848" spans="1:6">
      <c r="A1848" t="s">
        <v>1924</v>
      </c>
      <c r="B1848">
        <v>2021</v>
      </c>
      <c r="C1848" s="9">
        <v>44235</v>
      </c>
      <c r="D1848" t="s">
        <v>24</v>
      </c>
      <c r="E1848" t="s">
        <v>51</v>
      </c>
      <c r="F1848">
        <v>0</v>
      </c>
    </row>
    <row r="1849" spans="1:6">
      <c r="A1849" t="s">
        <v>1925</v>
      </c>
      <c r="B1849">
        <v>2021</v>
      </c>
      <c r="C1849" s="9">
        <v>44236</v>
      </c>
      <c r="D1849" t="s">
        <v>7</v>
      </c>
      <c r="E1849" t="s">
        <v>51</v>
      </c>
      <c r="F1849">
        <v>609</v>
      </c>
    </row>
    <row r="1850" spans="1:6">
      <c r="A1850" t="s">
        <v>1926</v>
      </c>
      <c r="B1850">
        <v>2021</v>
      </c>
      <c r="C1850" s="9">
        <v>44237</v>
      </c>
      <c r="D1850" t="s">
        <v>10</v>
      </c>
      <c r="E1850" t="s">
        <v>51</v>
      </c>
      <c r="F1850">
        <v>915</v>
      </c>
    </row>
    <row r="1851" spans="1:6">
      <c r="A1851" t="s">
        <v>1927</v>
      </c>
      <c r="B1851">
        <v>2021</v>
      </c>
      <c r="C1851" s="9">
        <v>44238</v>
      </c>
      <c r="D1851" t="s">
        <v>13</v>
      </c>
      <c r="E1851" t="s">
        <v>51</v>
      </c>
      <c r="F1851">
        <v>983</v>
      </c>
    </row>
    <row r="1852" spans="1:6">
      <c r="A1852" t="s">
        <v>1928</v>
      </c>
      <c r="B1852">
        <v>2021</v>
      </c>
      <c r="C1852" s="9">
        <v>44239</v>
      </c>
      <c r="D1852" t="s">
        <v>18</v>
      </c>
      <c r="E1852" t="s">
        <v>51</v>
      </c>
      <c r="F1852">
        <v>572</v>
      </c>
    </row>
    <row r="1853" spans="1:6">
      <c r="A1853" t="s">
        <v>1929</v>
      </c>
      <c r="B1853">
        <v>2021</v>
      </c>
      <c r="C1853" s="9">
        <v>44240</v>
      </c>
      <c r="D1853" t="s">
        <v>20</v>
      </c>
      <c r="E1853" t="s">
        <v>51</v>
      </c>
      <c r="F1853">
        <v>509</v>
      </c>
    </row>
    <row r="1854" spans="1:6">
      <c r="A1854" t="s">
        <v>1930</v>
      </c>
      <c r="B1854">
        <v>2021</v>
      </c>
      <c r="C1854" s="9">
        <v>44241</v>
      </c>
      <c r="D1854" t="s">
        <v>22</v>
      </c>
      <c r="E1854" t="s">
        <v>51</v>
      </c>
      <c r="F1854">
        <v>0</v>
      </c>
    </row>
    <row r="1855" spans="1:6">
      <c r="A1855" t="s">
        <v>1931</v>
      </c>
      <c r="B1855">
        <v>2021</v>
      </c>
      <c r="C1855" s="9">
        <v>44242</v>
      </c>
      <c r="D1855" t="s">
        <v>24</v>
      </c>
      <c r="E1855" t="s">
        <v>51</v>
      </c>
      <c r="F1855">
        <v>0</v>
      </c>
    </row>
    <row r="1856" spans="1:6">
      <c r="A1856" t="s">
        <v>1932</v>
      </c>
      <c r="B1856">
        <v>2021</v>
      </c>
      <c r="C1856" s="9">
        <v>44243</v>
      </c>
      <c r="D1856" t="s">
        <v>7</v>
      </c>
      <c r="E1856" t="s">
        <v>51</v>
      </c>
      <c r="F1856">
        <v>197</v>
      </c>
    </row>
    <row r="1857" spans="1:6">
      <c r="A1857" t="s">
        <v>1933</v>
      </c>
      <c r="B1857">
        <v>2021</v>
      </c>
      <c r="C1857" s="9">
        <v>44244</v>
      </c>
      <c r="D1857" t="s">
        <v>10</v>
      </c>
      <c r="E1857" t="s">
        <v>51</v>
      </c>
      <c r="F1857">
        <v>987.8</v>
      </c>
    </row>
    <row r="1858" spans="1:6">
      <c r="A1858" t="s">
        <v>1934</v>
      </c>
      <c r="B1858">
        <v>2021</v>
      </c>
      <c r="C1858" s="9">
        <v>44245</v>
      </c>
      <c r="D1858" t="s">
        <v>13</v>
      </c>
      <c r="E1858" t="s">
        <v>51</v>
      </c>
      <c r="F1858">
        <v>819.2</v>
      </c>
    </row>
    <row r="1859" spans="1:6">
      <c r="A1859" t="s">
        <v>1935</v>
      </c>
      <c r="B1859">
        <v>2021</v>
      </c>
      <c r="C1859" s="9">
        <v>44246</v>
      </c>
      <c r="D1859" t="s">
        <v>18</v>
      </c>
      <c r="E1859" t="s">
        <v>51</v>
      </c>
      <c r="F1859">
        <v>893</v>
      </c>
    </row>
    <row r="1860" spans="1:6">
      <c r="A1860" t="s">
        <v>1936</v>
      </c>
      <c r="B1860">
        <v>2021</v>
      </c>
      <c r="C1860" s="9">
        <v>44247</v>
      </c>
      <c r="D1860" t="s">
        <v>20</v>
      </c>
      <c r="E1860" t="s">
        <v>51</v>
      </c>
      <c r="F1860">
        <v>918.2</v>
      </c>
    </row>
    <row r="1861" spans="1:6">
      <c r="A1861" t="s">
        <v>1937</v>
      </c>
      <c r="B1861">
        <v>2021</v>
      </c>
      <c r="C1861" s="9">
        <v>44248</v>
      </c>
      <c r="D1861" t="s">
        <v>22</v>
      </c>
      <c r="E1861" t="s">
        <v>51</v>
      </c>
      <c r="F1861">
        <v>0</v>
      </c>
    </row>
    <row r="1862" spans="1:6">
      <c r="A1862" t="s">
        <v>1938</v>
      </c>
      <c r="B1862">
        <v>2021</v>
      </c>
      <c r="C1862" s="9">
        <v>44249</v>
      </c>
      <c r="D1862" t="s">
        <v>24</v>
      </c>
      <c r="E1862" t="s">
        <v>51</v>
      </c>
      <c r="F1862">
        <v>0</v>
      </c>
    </row>
    <row r="1863" spans="1:6">
      <c r="A1863" t="s">
        <v>1939</v>
      </c>
      <c r="B1863">
        <v>2021</v>
      </c>
      <c r="C1863" s="9">
        <v>44250</v>
      </c>
      <c r="D1863" t="s">
        <v>7</v>
      </c>
      <c r="E1863" t="s">
        <v>51</v>
      </c>
      <c r="F1863">
        <v>671</v>
      </c>
    </row>
    <row r="1864" spans="1:6">
      <c r="A1864" t="s">
        <v>1940</v>
      </c>
      <c r="B1864">
        <v>2021</v>
      </c>
      <c r="C1864" s="9">
        <v>44251</v>
      </c>
      <c r="D1864" t="s">
        <v>10</v>
      </c>
      <c r="E1864" t="s">
        <v>51</v>
      </c>
      <c r="F1864">
        <v>691.8</v>
      </c>
    </row>
    <row r="1865" spans="1:6">
      <c r="A1865" t="s">
        <v>1941</v>
      </c>
      <c r="B1865">
        <v>2021</v>
      </c>
      <c r="C1865" s="9">
        <v>44252</v>
      </c>
      <c r="D1865" t="s">
        <v>13</v>
      </c>
      <c r="E1865" t="s">
        <v>51</v>
      </c>
      <c r="F1865">
        <v>777.4</v>
      </c>
    </row>
    <row r="1866" spans="1:6">
      <c r="A1866" t="s">
        <v>1942</v>
      </c>
      <c r="B1866">
        <v>2021</v>
      </c>
      <c r="C1866" s="9">
        <v>44253</v>
      </c>
      <c r="D1866" t="s">
        <v>18</v>
      </c>
      <c r="E1866" t="s">
        <v>51</v>
      </c>
      <c r="F1866">
        <v>716</v>
      </c>
    </row>
    <row r="1867" spans="1:6">
      <c r="A1867" t="s">
        <v>1943</v>
      </c>
      <c r="B1867">
        <v>2021</v>
      </c>
      <c r="C1867" s="9">
        <v>44254</v>
      </c>
      <c r="D1867" t="s">
        <v>20</v>
      </c>
      <c r="E1867" t="s">
        <v>51</v>
      </c>
      <c r="F1867">
        <v>479.8</v>
      </c>
    </row>
    <row r="1868" spans="1:6">
      <c r="A1868" t="s">
        <v>1944</v>
      </c>
      <c r="B1868">
        <v>2021</v>
      </c>
      <c r="C1868" s="9">
        <v>44255</v>
      </c>
      <c r="D1868" t="s">
        <v>22</v>
      </c>
      <c r="E1868" t="s">
        <v>51</v>
      </c>
      <c r="F1868">
        <v>0</v>
      </c>
    </row>
    <row r="1869" spans="1:6">
      <c r="A1869" t="s">
        <v>1945</v>
      </c>
      <c r="B1869">
        <v>2021</v>
      </c>
      <c r="C1869" s="9">
        <v>44256</v>
      </c>
      <c r="D1869" t="s">
        <v>24</v>
      </c>
      <c r="E1869" t="s">
        <v>80</v>
      </c>
      <c r="F1869">
        <v>0</v>
      </c>
    </row>
    <row r="1870" spans="1:6">
      <c r="A1870" t="s">
        <v>1946</v>
      </c>
      <c r="B1870">
        <v>2021</v>
      </c>
      <c r="C1870" s="9">
        <v>44257</v>
      </c>
      <c r="D1870" t="s">
        <v>7</v>
      </c>
      <c r="E1870" t="s">
        <v>80</v>
      </c>
      <c r="F1870">
        <v>746</v>
      </c>
    </row>
    <row r="1871" spans="1:6">
      <c r="A1871" t="s">
        <v>1947</v>
      </c>
      <c r="B1871">
        <v>2021</v>
      </c>
      <c r="C1871" s="9">
        <v>44258</v>
      </c>
      <c r="D1871" t="s">
        <v>10</v>
      </c>
      <c r="E1871" t="s">
        <v>80</v>
      </c>
      <c r="F1871">
        <v>720</v>
      </c>
    </row>
    <row r="1872" spans="1:6">
      <c r="A1872" t="s">
        <v>1948</v>
      </c>
      <c r="B1872">
        <v>2021</v>
      </c>
      <c r="C1872" s="9">
        <v>44259</v>
      </c>
      <c r="D1872" t="s">
        <v>13</v>
      </c>
      <c r="E1872" t="s">
        <v>80</v>
      </c>
      <c r="F1872">
        <v>581</v>
      </c>
    </row>
    <row r="1873" spans="1:6">
      <c r="A1873" t="s">
        <v>1949</v>
      </c>
      <c r="B1873">
        <v>2021</v>
      </c>
      <c r="C1873" s="9">
        <v>44260</v>
      </c>
      <c r="D1873" t="s">
        <v>18</v>
      </c>
      <c r="E1873" t="s">
        <v>80</v>
      </c>
      <c r="F1873">
        <v>476</v>
      </c>
    </row>
    <row r="1874" spans="1:6">
      <c r="A1874" t="s">
        <v>1950</v>
      </c>
      <c r="B1874">
        <v>2021</v>
      </c>
      <c r="C1874" s="9">
        <v>44261</v>
      </c>
      <c r="D1874" t="s">
        <v>20</v>
      </c>
      <c r="E1874" t="s">
        <v>80</v>
      </c>
      <c r="F1874">
        <v>586</v>
      </c>
    </row>
    <row r="1875" spans="1:6">
      <c r="A1875" t="s">
        <v>1951</v>
      </c>
      <c r="B1875">
        <v>2021</v>
      </c>
      <c r="C1875" s="9">
        <v>44262</v>
      </c>
      <c r="D1875" t="s">
        <v>22</v>
      </c>
      <c r="E1875" t="s">
        <v>80</v>
      </c>
      <c r="F1875">
        <v>0</v>
      </c>
    </row>
    <row r="1876" spans="1:6">
      <c r="A1876" t="s">
        <v>1952</v>
      </c>
      <c r="B1876">
        <v>2021</v>
      </c>
      <c r="C1876" s="9">
        <v>44263</v>
      </c>
      <c r="D1876" t="s">
        <v>24</v>
      </c>
      <c r="E1876" t="s">
        <v>80</v>
      </c>
      <c r="F1876">
        <v>0</v>
      </c>
    </row>
    <row r="1877" spans="1:6">
      <c r="A1877" t="s">
        <v>1953</v>
      </c>
      <c r="B1877">
        <v>2021</v>
      </c>
      <c r="C1877" s="9">
        <v>44264</v>
      </c>
      <c r="D1877" t="s">
        <v>7</v>
      </c>
      <c r="E1877" t="s">
        <v>80</v>
      </c>
      <c r="F1877">
        <v>641.79999999999995</v>
      </c>
    </row>
    <row r="1878" spans="1:6">
      <c r="A1878" t="s">
        <v>1954</v>
      </c>
      <c r="B1878">
        <v>2021</v>
      </c>
      <c r="C1878" s="9">
        <v>44265</v>
      </c>
      <c r="D1878" t="s">
        <v>10</v>
      </c>
      <c r="E1878" t="s">
        <v>80</v>
      </c>
      <c r="F1878">
        <v>697</v>
      </c>
    </row>
    <row r="1879" spans="1:6">
      <c r="A1879" t="s">
        <v>1955</v>
      </c>
      <c r="B1879">
        <v>2021</v>
      </c>
      <c r="C1879" s="9">
        <v>44266</v>
      </c>
      <c r="D1879" t="s">
        <v>13</v>
      </c>
      <c r="E1879" t="s">
        <v>80</v>
      </c>
      <c r="F1879">
        <v>518.20000000000005</v>
      </c>
    </row>
    <row r="1880" spans="1:6">
      <c r="A1880" t="s">
        <v>1956</v>
      </c>
      <c r="B1880">
        <v>2021</v>
      </c>
      <c r="C1880" s="9">
        <v>44267</v>
      </c>
      <c r="D1880" t="s">
        <v>18</v>
      </c>
      <c r="E1880" t="s">
        <v>80</v>
      </c>
      <c r="F1880">
        <v>861.8</v>
      </c>
    </row>
    <row r="1881" spans="1:6">
      <c r="A1881" t="s">
        <v>1957</v>
      </c>
      <c r="B1881">
        <v>2021</v>
      </c>
      <c r="C1881" s="9">
        <v>44268</v>
      </c>
      <c r="D1881" t="s">
        <v>20</v>
      </c>
      <c r="E1881" t="s">
        <v>80</v>
      </c>
      <c r="F1881">
        <v>954.8</v>
      </c>
    </row>
    <row r="1882" spans="1:6">
      <c r="A1882" t="s">
        <v>1958</v>
      </c>
      <c r="B1882">
        <v>2021</v>
      </c>
      <c r="C1882" s="9">
        <v>44269</v>
      </c>
      <c r="D1882" t="s">
        <v>22</v>
      </c>
      <c r="E1882" t="s">
        <v>80</v>
      </c>
      <c r="F1882">
        <v>0</v>
      </c>
    </row>
    <row r="1883" spans="1:6">
      <c r="A1883" t="s">
        <v>1959</v>
      </c>
      <c r="B1883">
        <v>2021</v>
      </c>
      <c r="C1883" s="9">
        <v>44270</v>
      </c>
      <c r="D1883" t="s">
        <v>24</v>
      </c>
      <c r="E1883" t="s">
        <v>80</v>
      </c>
      <c r="F1883">
        <v>0</v>
      </c>
    </row>
    <row r="1884" spans="1:6">
      <c r="A1884" t="s">
        <v>1960</v>
      </c>
      <c r="B1884">
        <v>2021</v>
      </c>
      <c r="C1884" s="9">
        <v>44271</v>
      </c>
      <c r="D1884" t="s">
        <v>7</v>
      </c>
      <c r="E1884" t="s">
        <v>80</v>
      </c>
      <c r="F1884">
        <v>476</v>
      </c>
    </row>
    <row r="1885" spans="1:6">
      <c r="A1885" t="s">
        <v>1961</v>
      </c>
      <c r="B1885">
        <v>2021</v>
      </c>
      <c r="C1885" s="9">
        <v>44272</v>
      </c>
      <c r="D1885" t="s">
        <v>10</v>
      </c>
      <c r="E1885" t="s">
        <v>80</v>
      </c>
      <c r="F1885">
        <v>718.8</v>
      </c>
    </row>
    <row r="1886" spans="1:6">
      <c r="A1886" t="s">
        <v>1962</v>
      </c>
      <c r="B1886">
        <v>2021</v>
      </c>
      <c r="C1886" s="9">
        <v>44273</v>
      </c>
      <c r="D1886" t="s">
        <v>13</v>
      </c>
      <c r="E1886" t="s">
        <v>80</v>
      </c>
      <c r="F1886">
        <v>465</v>
      </c>
    </row>
    <row r="1887" spans="1:6">
      <c r="A1887" t="s">
        <v>1963</v>
      </c>
      <c r="B1887">
        <v>2021</v>
      </c>
      <c r="C1887" s="9">
        <v>44274</v>
      </c>
      <c r="D1887" t="s">
        <v>18</v>
      </c>
      <c r="E1887" t="s">
        <v>80</v>
      </c>
      <c r="F1887">
        <v>611</v>
      </c>
    </row>
    <row r="1888" spans="1:6">
      <c r="A1888" t="s">
        <v>1964</v>
      </c>
      <c r="B1888">
        <v>2021</v>
      </c>
      <c r="C1888" s="9">
        <v>44275</v>
      </c>
      <c r="D1888" t="s">
        <v>20</v>
      </c>
      <c r="E1888" t="s">
        <v>80</v>
      </c>
      <c r="F1888">
        <v>564</v>
      </c>
    </row>
    <row r="1889" spans="1:6">
      <c r="A1889" t="s">
        <v>1965</v>
      </c>
      <c r="B1889">
        <v>2021</v>
      </c>
      <c r="C1889" s="9">
        <v>44276</v>
      </c>
      <c r="D1889" t="s">
        <v>22</v>
      </c>
      <c r="E1889" t="s">
        <v>80</v>
      </c>
      <c r="F1889">
        <v>0</v>
      </c>
    </row>
    <row r="1890" spans="1:6">
      <c r="A1890" t="s">
        <v>1966</v>
      </c>
      <c r="B1890">
        <v>2021</v>
      </c>
      <c r="C1890" s="9">
        <v>44277</v>
      </c>
      <c r="D1890" t="s">
        <v>24</v>
      </c>
      <c r="E1890" t="s">
        <v>80</v>
      </c>
      <c r="F1890">
        <v>0</v>
      </c>
    </row>
    <row r="1891" spans="1:6">
      <c r="A1891" t="s">
        <v>1967</v>
      </c>
      <c r="B1891">
        <v>2021</v>
      </c>
      <c r="C1891" s="9">
        <v>44278</v>
      </c>
      <c r="D1891" t="s">
        <v>7</v>
      </c>
      <c r="E1891" t="s">
        <v>80</v>
      </c>
      <c r="F1891">
        <v>444</v>
      </c>
    </row>
    <row r="1892" spans="1:6">
      <c r="A1892" t="s">
        <v>1968</v>
      </c>
      <c r="B1892">
        <v>2021</v>
      </c>
      <c r="C1892" s="9">
        <v>44279</v>
      </c>
      <c r="D1892" t="s">
        <v>10</v>
      </c>
      <c r="E1892" t="s">
        <v>80</v>
      </c>
      <c r="F1892">
        <v>758.8</v>
      </c>
    </row>
    <row r="1893" spans="1:6">
      <c r="A1893" t="s">
        <v>1969</v>
      </c>
      <c r="B1893">
        <v>2021</v>
      </c>
      <c r="C1893" s="9">
        <v>44280</v>
      </c>
      <c r="D1893" t="s">
        <v>13</v>
      </c>
      <c r="E1893" t="s">
        <v>80</v>
      </c>
      <c r="F1893">
        <v>771</v>
      </c>
    </row>
    <row r="1894" spans="1:6">
      <c r="A1894" t="s">
        <v>1970</v>
      </c>
      <c r="B1894">
        <v>2021</v>
      </c>
      <c r="C1894" s="9">
        <v>44281</v>
      </c>
      <c r="D1894" t="s">
        <v>18</v>
      </c>
      <c r="E1894" t="s">
        <v>80</v>
      </c>
      <c r="F1894">
        <v>521.79999999999995</v>
      </c>
    </row>
    <row r="1895" spans="1:6">
      <c r="A1895" t="s">
        <v>1971</v>
      </c>
      <c r="B1895">
        <v>2021</v>
      </c>
      <c r="C1895" s="9">
        <v>44282</v>
      </c>
      <c r="D1895" t="s">
        <v>20</v>
      </c>
      <c r="E1895" t="s">
        <v>80</v>
      </c>
      <c r="F1895">
        <v>510.8</v>
      </c>
    </row>
    <row r="1896" spans="1:6">
      <c r="A1896" t="s">
        <v>1972</v>
      </c>
      <c r="B1896">
        <v>2021</v>
      </c>
      <c r="C1896" s="9">
        <v>44283</v>
      </c>
      <c r="D1896" t="s">
        <v>22</v>
      </c>
      <c r="E1896" t="s">
        <v>80</v>
      </c>
      <c r="F1896">
        <v>0</v>
      </c>
    </row>
    <row r="1897" spans="1:6">
      <c r="A1897" t="s">
        <v>1973</v>
      </c>
      <c r="B1897">
        <v>2021</v>
      </c>
      <c r="C1897" s="9">
        <v>44284</v>
      </c>
      <c r="D1897" t="s">
        <v>24</v>
      </c>
      <c r="E1897" t="s">
        <v>80</v>
      </c>
      <c r="F1897">
        <v>0</v>
      </c>
    </row>
    <row r="1898" spans="1:6">
      <c r="A1898" t="s">
        <v>1974</v>
      </c>
      <c r="B1898">
        <v>2021</v>
      </c>
      <c r="C1898" s="9">
        <v>44285</v>
      </c>
      <c r="D1898" t="s">
        <v>7</v>
      </c>
      <c r="E1898" t="s">
        <v>80</v>
      </c>
      <c r="F1898">
        <v>625</v>
      </c>
    </row>
    <row r="1899" spans="1:6">
      <c r="A1899" t="s">
        <v>1975</v>
      </c>
      <c r="B1899">
        <v>2021</v>
      </c>
      <c r="C1899" s="9">
        <v>44286</v>
      </c>
      <c r="D1899" t="s">
        <v>10</v>
      </c>
      <c r="E1899" t="s">
        <v>80</v>
      </c>
      <c r="F1899">
        <v>1071</v>
      </c>
    </row>
    <row r="1900" spans="1:6">
      <c r="A1900" t="s">
        <v>1976</v>
      </c>
      <c r="B1900">
        <v>2021</v>
      </c>
      <c r="C1900" s="9">
        <v>44287</v>
      </c>
      <c r="D1900" t="s">
        <v>13</v>
      </c>
      <c r="E1900" t="s">
        <v>112</v>
      </c>
      <c r="F1900">
        <v>841</v>
      </c>
    </row>
    <row r="1901" spans="1:6">
      <c r="A1901" t="s">
        <v>1977</v>
      </c>
      <c r="B1901">
        <v>2021</v>
      </c>
      <c r="C1901" s="9">
        <v>44288</v>
      </c>
      <c r="D1901" t="s">
        <v>18</v>
      </c>
      <c r="E1901" t="s">
        <v>112</v>
      </c>
      <c r="F1901">
        <v>998.6</v>
      </c>
    </row>
    <row r="1902" spans="1:6">
      <c r="A1902" t="s">
        <v>1978</v>
      </c>
      <c r="B1902">
        <v>2021</v>
      </c>
      <c r="C1902" s="9">
        <v>44289</v>
      </c>
      <c r="D1902" t="s">
        <v>20</v>
      </c>
      <c r="E1902" t="s">
        <v>112</v>
      </c>
      <c r="F1902">
        <v>810.6</v>
      </c>
    </row>
    <row r="1903" spans="1:6">
      <c r="A1903" t="s">
        <v>1979</v>
      </c>
      <c r="B1903">
        <v>2021</v>
      </c>
      <c r="C1903" s="9">
        <v>44290</v>
      </c>
      <c r="D1903" t="s">
        <v>22</v>
      </c>
      <c r="E1903" t="s">
        <v>112</v>
      </c>
      <c r="F1903">
        <v>68</v>
      </c>
    </row>
    <row r="1904" spans="1:6">
      <c r="A1904" t="s">
        <v>1980</v>
      </c>
      <c r="B1904">
        <v>2021</v>
      </c>
      <c r="C1904" s="9">
        <v>44291</v>
      </c>
      <c r="D1904" t="s">
        <v>24</v>
      </c>
      <c r="E1904" t="s">
        <v>112</v>
      </c>
      <c r="F1904">
        <v>0</v>
      </c>
    </row>
    <row r="1905" spans="1:6">
      <c r="A1905" t="s">
        <v>1981</v>
      </c>
      <c r="B1905">
        <v>2021</v>
      </c>
      <c r="C1905" s="9">
        <v>44292</v>
      </c>
      <c r="D1905" t="s">
        <v>7</v>
      </c>
      <c r="E1905" t="s">
        <v>112</v>
      </c>
      <c r="F1905">
        <v>499</v>
      </c>
    </row>
    <row r="1906" spans="1:6">
      <c r="A1906" t="s">
        <v>1982</v>
      </c>
      <c r="B1906">
        <v>2021</v>
      </c>
      <c r="C1906" s="9">
        <v>44293</v>
      </c>
      <c r="D1906" t="s">
        <v>10</v>
      </c>
      <c r="E1906" t="s">
        <v>112</v>
      </c>
      <c r="F1906">
        <v>495</v>
      </c>
    </row>
    <row r="1907" spans="1:6">
      <c r="A1907" t="s">
        <v>1983</v>
      </c>
      <c r="B1907">
        <v>2021</v>
      </c>
      <c r="C1907" s="9">
        <v>44294</v>
      </c>
      <c r="D1907" t="s">
        <v>13</v>
      </c>
      <c r="E1907" t="s">
        <v>112</v>
      </c>
      <c r="F1907">
        <v>1058.2</v>
      </c>
    </row>
    <row r="1908" spans="1:6">
      <c r="A1908" t="s">
        <v>1984</v>
      </c>
      <c r="B1908">
        <v>2021</v>
      </c>
      <c r="C1908" s="9">
        <v>44295</v>
      </c>
      <c r="D1908" t="s">
        <v>18</v>
      </c>
      <c r="E1908" t="s">
        <v>112</v>
      </c>
      <c r="F1908">
        <v>1036</v>
      </c>
    </row>
    <row r="1909" spans="1:6">
      <c r="A1909" t="s">
        <v>1985</v>
      </c>
      <c r="B1909">
        <v>2021</v>
      </c>
      <c r="C1909" s="9">
        <v>44296</v>
      </c>
      <c r="D1909" t="s">
        <v>20</v>
      </c>
      <c r="E1909" t="s">
        <v>112</v>
      </c>
      <c r="F1909">
        <v>274</v>
      </c>
    </row>
    <row r="1910" spans="1:6">
      <c r="A1910" t="s">
        <v>1986</v>
      </c>
      <c r="B1910">
        <v>2021</v>
      </c>
      <c r="C1910" s="9">
        <v>44297</v>
      </c>
      <c r="D1910" t="s">
        <v>22</v>
      </c>
      <c r="E1910" t="s">
        <v>112</v>
      </c>
      <c r="F1910">
        <v>0</v>
      </c>
    </row>
    <row r="1911" spans="1:6">
      <c r="A1911" t="s">
        <v>1987</v>
      </c>
      <c r="B1911">
        <v>2021</v>
      </c>
      <c r="C1911" s="9">
        <v>44298</v>
      </c>
      <c r="D1911" t="s">
        <v>24</v>
      </c>
      <c r="E1911" t="s">
        <v>112</v>
      </c>
      <c r="F1911">
        <v>0</v>
      </c>
    </row>
    <row r="1912" spans="1:6">
      <c r="A1912" t="s">
        <v>1988</v>
      </c>
      <c r="B1912">
        <v>2021</v>
      </c>
      <c r="C1912" s="9">
        <v>44299</v>
      </c>
      <c r="D1912" t="s">
        <v>7</v>
      </c>
      <c r="E1912" t="s">
        <v>112</v>
      </c>
      <c r="F1912">
        <v>642.20000000000005</v>
      </c>
    </row>
    <row r="1913" spans="1:6">
      <c r="A1913" t="s">
        <v>1989</v>
      </c>
      <c r="B1913">
        <v>2021</v>
      </c>
      <c r="C1913" s="9">
        <v>44300</v>
      </c>
      <c r="D1913" t="s">
        <v>10</v>
      </c>
      <c r="E1913" t="s">
        <v>112</v>
      </c>
      <c r="F1913">
        <v>404</v>
      </c>
    </row>
    <row r="1914" spans="1:6">
      <c r="A1914" t="s">
        <v>1990</v>
      </c>
      <c r="B1914">
        <v>2021</v>
      </c>
      <c r="C1914" s="9">
        <v>44301</v>
      </c>
      <c r="D1914" t="s">
        <v>13</v>
      </c>
      <c r="E1914" t="s">
        <v>112</v>
      </c>
      <c r="F1914">
        <v>572.79999999999995</v>
      </c>
    </row>
    <row r="1915" spans="1:6">
      <c r="A1915" t="s">
        <v>1991</v>
      </c>
      <c r="B1915">
        <v>2021</v>
      </c>
      <c r="C1915" s="9">
        <v>44302</v>
      </c>
      <c r="D1915" t="s">
        <v>18</v>
      </c>
      <c r="E1915" t="s">
        <v>112</v>
      </c>
      <c r="F1915">
        <v>493</v>
      </c>
    </row>
    <row r="1916" spans="1:6">
      <c r="A1916" t="s">
        <v>1992</v>
      </c>
      <c r="B1916">
        <v>2021</v>
      </c>
      <c r="C1916" s="9">
        <v>44303</v>
      </c>
      <c r="D1916" t="s">
        <v>20</v>
      </c>
      <c r="E1916" t="s">
        <v>112</v>
      </c>
      <c r="F1916">
        <v>422.8</v>
      </c>
    </row>
    <row r="1917" spans="1:6">
      <c r="A1917" t="s">
        <v>1993</v>
      </c>
      <c r="B1917">
        <v>2021</v>
      </c>
      <c r="C1917" s="9">
        <v>44304</v>
      </c>
      <c r="D1917" t="s">
        <v>22</v>
      </c>
      <c r="E1917" t="s">
        <v>112</v>
      </c>
      <c r="F1917">
        <v>0</v>
      </c>
    </row>
    <row r="1918" spans="1:6">
      <c r="A1918" t="s">
        <v>1994</v>
      </c>
      <c r="B1918">
        <v>2021</v>
      </c>
      <c r="C1918" s="9">
        <v>44305</v>
      </c>
      <c r="D1918" t="s">
        <v>24</v>
      </c>
      <c r="E1918" t="s">
        <v>112</v>
      </c>
      <c r="F1918">
        <v>0</v>
      </c>
    </row>
    <row r="1919" spans="1:6">
      <c r="A1919" t="s">
        <v>1995</v>
      </c>
      <c r="B1919">
        <v>2021</v>
      </c>
      <c r="C1919" s="9">
        <v>44306</v>
      </c>
      <c r="D1919" t="s">
        <v>7</v>
      </c>
      <c r="E1919" t="s">
        <v>112</v>
      </c>
      <c r="F1919">
        <v>576</v>
      </c>
    </row>
    <row r="1920" spans="1:6">
      <c r="A1920" t="s">
        <v>1996</v>
      </c>
      <c r="B1920">
        <v>2021</v>
      </c>
      <c r="C1920" s="9">
        <v>44307</v>
      </c>
      <c r="D1920" t="s">
        <v>10</v>
      </c>
      <c r="E1920" t="s">
        <v>112</v>
      </c>
      <c r="F1920">
        <v>611</v>
      </c>
    </row>
    <row r="1921" spans="1:6">
      <c r="A1921" t="s">
        <v>1997</v>
      </c>
      <c r="B1921">
        <v>2021</v>
      </c>
      <c r="C1921" s="9">
        <v>44308</v>
      </c>
      <c r="D1921" t="s">
        <v>13</v>
      </c>
      <c r="E1921" t="s">
        <v>112</v>
      </c>
      <c r="F1921">
        <v>645</v>
      </c>
    </row>
    <row r="1922" spans="1:6">
      <c r="A1922" t="s">
        <v>1998</v>
      </c>
      <c r="B1922">
        <v>2021</v>
      </c>
      <c r="C1922" s="9">
        <v>44309</v>
      </c>
      <c r="D1922" t="s">
        <v>18</v>
      </c>
      <c r="E1922" t="s">
        <v>112</v>
      </c>
      <c r="F1922">
        <v>906</v>
      </c>
    </row>
    <row r="1923" spans="1:6">
      <c r="A1923" t="s">
        <v>1999</v>
      </c>
      <c r="B1923">
        <v>2021</v>
      </c>
      <c r="C1923" s="9">
        <v>44310</v>
      </c>
      <c r="D1923" t="s">
        <v>20</v>
      </c>
      <c r="E1923" t="s">
        <v>112</v>
      </c>
      <c r="F1923">
        <v>312</v>
      </c>
    </row>
    <row r="1924" spans="1:6">
      <c r="A1924" t="s">
        <v>2000</v>
      </c>
      <c r="B1924">
        <v>2021</v>
      </c>
      <c r="C1924" s="9">
        <v>44311</v>
      </c>
      <c r="D1924" t="s">
        <v>22</v>
      </c>
      <c r="E1924" t="s">
        <v>112</v>
      </c>
      <c r="F1924">
        <v>0</v>
      </c>
    </row>
    <row r="1925" spans="1:6">
      <c r="A1925" t="s">
        <v>2001</v>
      </c>
      <c r="B1925">
        <v>2021</v>
      </c>
      <c r="C1925" s="9">
        <v>44312</v>
      </c>
      <c r="D1925" t="s">
        <v>24</v>
      </c>
      <c r="E1925" t="s">
        <v>112</v>
      </c>
      <c r="F1925">
        <v>0</v>
      </c>
    </row>
    <row r="1926" spans="1:6">
      <c r="A1926" t="s">
        <v>2002</v>
      </c>
      <c r="B1926">
        <v>2021</v>
      </c>
      <c r="C1926" s="9">
        <v>44313</v>
      </c>
      <c r="D1926" t="s">
        <v>7</v>
      </c>
      <c r="E1926" t="s">
        <v>112</v>
      </c>
      <c r="F1926">
        <v>609</v>
      </c>
    </row>
    <row r="1927" spans="1:6">
      <c r="A1927" t="s">
        <v>2003</v>
      </c>
      <c r="B1927">
        <v>2021</v>
      </c>
      <c r="C1927" s="9">
        <v>44314</v>
      </c>
      <c r="D1927" t="s">
        <v>10</v>
      </c>
      <c r="E1927" t="s">
        <v>112</v>
      </c>
      <c r="F1927">
        <v>543.79999999999995</v>
      </c>
    </row>
    <row r="1928" spans="1:6">
      <c r="A1928" t="s">
        <v>2004</v>
      </c>
      <c r="B1928">
        <v>2021</v>
      </c>
      <c r="C1928" s="9">
        <v>44315</v>
      </c>
      <c r="D1928" t="s">
        <v>13</v>
      </c>
      <c r="E1928" t="s">
        <v>112</v>
      </c>
      <c r="F1928">
        <v>620</v>
      </c>
    </row>
    <row r="1929" spans="1:6">
      <c r="A1929" t="s">
        <v>2005</v>
      </c>
      <c r="B1929">
        <v>2021</v>
      </c>
      <c r="C1929" s="9">
        <v>44316</v>
      </c>
      <c r="D1929" t="s">
        <v>18</v>
      </c>
      <c r="E1929" t="s">
        <v>112</v>
      </c>
      <c r="F1929">
        <v>461</v>
      </c>
    </row>
    <row r="1930" spans="1:6">
      <c r="A1930" t="s">
        <v>2006</v>
      </c>
      <c r="B1930">
        <v>2021</v>
      </c>
      <c r="C1930" s="9">
        <v>44317</v>
      </c>
      <c r="D1930" t="s">
        <v>20</v>
      </c>
      <c r="E1930" t="s">
        <v>143</v>
      </c>
      <c r="F1930">
        <v>0</v>
      </c>
    </row>
    <row r="1931" spans="1:6">
      <c r="A1931" t="s">
        <v>2007</v>
      </c>
      <c r="B1931">
        <v>2021</v>
      </c>
      <c r="C1931" s="9">
        <v>44318</v>
      </c>
      <c r="D1931" t="s">
        <v>22</v>
      </c>
      <c r="E1931" t="s">
        <v>143</v>
      </c>
      <c r="F1931">
        <v>0</v>
      </c>
    </row>
    <row r="1932" spans="1:6">
      <c r="A1932" t="s">
        <v>2008</v>
      </c>
      <c r="B1932">
        <v>2021</v>
      </c>
      <c r="C1932" s="9">
        <v>44319</v>
      </c>
      <c r="D1932" t="s">
        <v>24</v>
      </c>
      <c r="E1932" t="s">
        <v>143</v>
      </c>
      <c r="F1932">
        <v>0</v>
      </c>
    </row>
    <row r="1933" spans="1:6">
      <c r="A1933" t="s">
        <v>2009</v>
      </c>
      <c r="B1933">
        <v>2021</v>
      </c>
      <c r="C1933" s="9">
        <v>44320</v>
      </c>
      <c r="D1933" t="s">
        <v>7</v>
      </c>
      <c r="E1933" t="s">
        <v>143</v>
      </c>
      <c r="F1933">
        <v>458</v>
      </c>
    </row>
    <row r="1934" spans="1:6">
      <c r="A1934" t="s">
        <v>2010</v>
      </c>
      <c r="B1934">
        <v>2021</v>
      </c>
      <c r="C1934" s="9">
        <v>44321</v>
      </c>
      <c r="D1934" t="s">
        <v>10</v>
      </c>
      <c r="E1934" t="s">
        <v>143</v>
      </c>
      <c r="F1934">
        <v>874.6</v>
      </c>
    </row>
    <row r="1935" spans="1:6">
      <c r="A1935" t="s">
        <v>2011</v>
      </c>
      <c r="B1935">
        <v>2021</v>
      </c>
      <c r="C1935" s="9">
        <v>44322</v>
      </c>
      <c r="D1935" t="s">
        <v>13</v>
      </c>
      <c r="E1935" t="s">
        <v>143</v>
      </c>
      <c r="F1935">
        <v>957.6</v>
      </c>
    </row>
    <row r="1936" spans="1:6">
      <c r="A1936" t="s">
        <v>2012</v>
      </c>
      <c r="B1936">
        <v>2021</v>
      </c>
      <c r="C1936" s="9">
        <v>44323</v>
      </c>
      <c r="D1936" t="s">
        <v>18</v>
      </c>
      <c r="E1936" t="s">
        <v>143</v>
      </c>
      <c r="F1936">
        <v>896</v>
      </c>
    </row>
    <row r="1937" spans="1:6">
      <c r="A1937" t="s">
        <v>2013</v>
      </c>
      <c r="B1937">
        <v>2021</v>
      </c>
      <c r="C1937" s="9">
        <v>44324</v>
      </c>
      <c r="D1937" t="s">
        <v>20</v>
      </c>
      <c r="E1937" t="s">
        <v>143</v>
      </c>
      <c r="F1937">
        <v>0</v>
      </c>
    </row>
    <row r="1938" spans="1:6">
      <c r="A1938" t="s">
        <v>2014</v>
      </c>
      <c r="B1938">
        <v>2021</v>
      </c>
      <c r="C1938" s="9">
        <v>44325</v>
      </c>
      <c r="D1938" t="s">
        <v>22</v>
      </c>
      <c r="E1938" t="s">
        <v>143</v>
      </c>
      <c r="F1938">
        <v>0</v>
      </c>
    </row>
    <row r="1939" spans="1:6">
      <c r="A1939" t="s">
        <v>2015</v>
      </c>
      <c r="B1939">
        <v>2021</v>
      </c>
      <c r="C1939" s="9">
        <v>44326</v>
      </c>
      <c r="D1939" t="s">
        <v>24</v>
      </c>
      <c r="E1939" t="s">
        <v>143</v>
      </c>
      <c r="F1939">
        <v>0</v>
      </c>
    </row>
    <row r="1940" spans="1:6">
      <c r="A1940" t="s">
        <v>2016</v>
      </c>
      <c r="B1940">
        <v>2021</v>
      </c>
      <c r="C1940" s="9">
        <v>44327</v>
      </c>
      <c r="D1940" t="s">
        <v>7</v>
      </c>
      <c r="E1940" t="s">
        <v>143</v>
      </c>
      <c r="F1940">
        <v>419.8</v>
      </c>
    </row>
    <row r="1941" spans="1:6">
      <c r="A1941" t="s">
        <v>2017</v>
      </c>
      <c r="B1941">
        <v>2021</v>
      </c>
      <c r="C1941" s="9">
        <v>44328</v>
      </c>
      <c r="D1941" t="s">
        <v>10</v>
      </c>
      <c r="E1941" t="s">
        <v>143</v>
      </c>
      <c r="F1941">
        <v>785</v>
      </c>
    </row>
    <row r="1942" spans="1:6">
      <c r="A1942" t="s">
        <v>2018</v>
      </c>
      <c r="B1942">
        <v>2021</v>
      </c>
      <c r="C1942" s="9">
        <v>44329</v>
      </c>
      <c r="D1942" t="s">
        <v>13</v>
      </c>
      <c r="E1942" t="s">
        <v>143</v>
      </c>
      <c r="F1942">
        <v>0</v>
      </c>
    </row>
    <row r="1943" spans="1:6">
      <c r="A1943" t="s">
        <v>2019</v>
      </c>
      <c r="B1943">
        <v>2021</v>
      </c>
      <c r="C1943" s="9">
        <v>44330</v>
      </c>
      <c r="D1943" t="s">
        <v>18</v>
      </c>
      <c r="E1943" t="s">
        <v>143</v>
      </c>
      <c r="F1943">
        <v>400</v>
      </c>
    </row>
    <row r="1944" spans="1:6">
      <c r="A1944" t="s">
        <v>2020</v>
      </c>
      <c r="B1944">
        <v>2021</v>
      </c>
      <c r="C1944" s="9">
        <v>44331</v>
      </c>
      <c r="D1944" t="s">
        <v>20</v>
      </c>
      <c r="E1944" t="s">
        <v>143</v>
      </c>
      <c r="F1944">
        <v>1078</v>
      </c>
    </row>
    <row r="1945" spans="1:6">
      <c r="A1945" t="s">
        <v>2021</v>
      </c>
      <c r="B1945">
        <v>2021</v>
      </c>
      <c r="C1945" s="9">
        <v>44332</v>
      </c>
      <c r="D1945" t="s">
        <v>22</v>
      </c>
      <c r="E1945" t="s">
        <v>143</v>
      </c>
      <c r="F1945">
        <v>0</v>
      </c>
    </row>
    <row r="1946" spans="1:6">
      <c r="A1946" t="s">
        <v>2022</v>
      </c>
      <c r="B1946">
        <v>2021</v>
      </c>
      <c r="C1946" s="9">
        <v>44333</v>
      </c>
      <c r="D1946" t="s">
        <v>24</v>
      </c>
      <c r="E1946" t="s">
        <v>143</v>
      </c>
      <c r="F1946">
        <v>0</v>
      </c>
    </row>
    <row r="1947" spans="1:6">
      <c r="A1947" t="s">
        <v>2023</v>
      </c>
      <c r="B1947">
        <v>2021</v>
      </c>
      <c r="C1947" s="9">
        <v>44334</v>
      </c>
      <c r="D1947" t="s">
        <v>7</v>
      </c>
      <c r="E1947" t="s">
        <v>143</v>
      </c>
      <c r="F1947">
        <v>751.6</v>
      </c>
    </row>
    <row r="1948" spans="1:6">
      <c r="A1948" t="s">
        <v>2024</v>
      </c>
      <c r="B1948">
        <v>2021</v>
      </c>
      <c r="C1948" s="9">
        <v>44335</v>
      </c>
      <c r="D1948" t="s">
        <v>10</v>
      </c>
      <c r="E1948" t="s">
        <v>143</v>
      </c>
      <c r="F1948">
        <v>1185</v>
      </c>
    </row>
    <row r="1949" spans="1:6">
      <c r="A1949" t="s">
        <v>2025</v>
      </c>
      <c r="B1949">
        <v>2021</v>
      </c>
      <c r="C1949" s="9">
        <v>44336</v>
      </c>
      <c r="D1949" t="s">
        <v>13</v>
      </c>
      <c r="E1949" t="s">
        <v>143</v>
      </c>
      <c r="F1949">
        <v>883</v>
      </c>
    </row>
    <row r="1950" spans="1:6">
      <c r="A1950" t="s">
        <v>2026</v>
      </c>
      <c r="B1950">
        <v>2021</v>
      </c>
      <c r="C1950" s="9">
        <v>44337</v>
      </c>
      <c r="D1950" t="s">
        <v>18</v>
      </c>
      <c r="E1950" t="s">
        <v>143</v>
      </c>
      <c r="F1950">
        <v>497</v>
      </c>
    </row>
    <row r="1951" spans="1:6">
      <c r="A1951" t="s">
        <v>2027</v>
      </c>
      <c r="B1951">
        <v>2021</v>
      </c>
      <c r="C1951" s="9">
        <v>44338</v>
      </c>
      <c r="D1951" t="s">
        <v>20</v>
      </c>
      <c r="E1951" t="s">
        <v>143</v>
      </c>
      <c r="F1951">
        <v>663</v>
      </c>
    </row>
    <row r="1952" spans="1:6">
      <c r="A1952" t="s">
        <v>2028</v>
      </c>
      <c r="B1952">
        <v>2021</v>
      </c>
      <c r="C1952" s="9">
        <v>44339</v>
      </c>
      <c r="D1952" t="s">
        <v>22</v>
      </c>
      <c r="E1952" t="s">
        <v>143</v>
      </c>
      <c r="F1952">
        <v>0</v>
      </c>
    </row>
    <row r="1953" spans="1:6">
      <c r="A1953" t="s">
        <v>2029</v>
      </c>
      <c r="B1953">
        <v>2021</v>
      </c>
      <c r="C1953" s="9">
        <v>44340</v>
      </c>
      <c r="D1953" t="s">
        <v>24</v>
      </c>
      <c r="E1953" t="s">
        <v>143</v>
      </c>
      <c r="F1953">
        <v>0</v>
      </c>
    </row>
    <row r="1954" spans="1:6">
      <c r="A1954" t="s">
        <v>2030</v>
      </c>
      <c r="B1954">
        <v>2021</v>
      </c>
      <c r="C1954" s="9">
        <v>44341</v>
      </c>
      <c r="D1954" t="s">
        <v>7</v>
      </c>
      <c r="E1954" t="s">
        <v>143</v>
      </c>
      <c r="F1954">
        <v>617</v>
      </c>
    </row>
    <row r="1955" spans="1:6">
      <c r="A1955" t="s">
        <v>2031</v>
      </c>
      <c r="B1955">
        <v>2021</v>
      </c>
      <c r="C1955" s="9">
        <v>44342</v>
      </c>
      <c r="D1955" t="s">
        <v>10</v>
      </c>
      <c r="E1955" t="s">
        <v>143</v>
      </c>
      <c r="F1955">
        <v>663</v>
      </c>
    </row>
    <row r="1956" spans="1:6">
      <c r="A1956" t="s">
        <v>2032</v>
      </c>
      <c r="B1956">
        <v>2021</v>
      </c>
      <c r="C1956" s="9">
        <v>44343</v>
      </c>
      <c r="D1956" t="s">
        <v>13</v>
      </c>
      <c r="E1956" t="s">
        <v>143</v>
      </c>
      <c r="F1956">
        <v>852</v>
      </c>
    </row>
    <row r="1957" spans="1:6">
      <c r="A1957" t="s">
        <v>2033</v>
      </c>
      <c r="B1957">
        <v>2021</v>
      </c>
      <c r="C1957" s="9">
        <v>44344</v>
      </c>
      <c r="D1957" t="s">
        <v>18</v>
      </c>
      <c r="E1957" t="s">
        <v>143</v>
      </c>
      <c r="F1957">
        <v>362</v>
      </c>
    </row>
    <row r="1958" spans="1:6">
      <c r="A1958" t="s">
        <v>2034</v>
      </c>
      <c r="B1958">
        <v>2021</v>
      </c>
      <c r="C1958" s="9">
        <v>44345</v>
      </c>
      <c r="D1958" t="s">
        <v>20</v>
      </c>
      <c r="E1958" t="s">
        <v>143</v>
      </c>
      <c r="F1958">
        <v>901.8</v>
      </c>
    </row>
    <row r="1959" spans="1:6">
      <c r="A1959" t="s">
        <v>2035</v>
      </c>
      <c r="B1959">
        <v>2021</v>
      </c>
      <c r="C1959" s="9">
        <v>44346</v>
      </c>
      <c r="D1959" t="s">
        <v>22</v>
      </c>
      <c r="E1959" t="s">
        <v>143</v>
      </c>
      <c r="F1959">
        <v>0</v>
      </c>
    </row>
    <row r="1960" spans="1:6">
      <c r="A1960" t="s">
        <v>2036</v>
      </c>
      <c r="B1960">
        <v>2021</v>
      </c>
      <c r="C1960" s="9">
        <v>44347</v>
      </c>
      <c r="D1960" t="s">
        <v>24</v>
      </c>
      <c r="E1960" t="s">
        <v>143</v>
      </c>
      <c r="F1960">
        <v>0</v>
      </c>
    </row>
    <row r="1961" spans="1:6">
      <c r="A1961" t="s">
        <v>2037</v>
      </c>
      <c r="B1961">
        <v>2021</v>
      </c>
      <c r="C1961" s="9">
        <v>44348</v>
      </c>
      <c r="D1961" t="s">
        <v>7</v>
      </c>
      <c r="E1961" t="s">
        <v>174</v>
      </c>
      <c r="F1961">
        <v>819</v>
      </c>
    </row>
    <row r="1962" spans="1:6">
      <c r="A1962" t="s">
        <v>2038</v>
      </c>
      <c r="B1962">
        <v>2021</v>
      </c>
      <c r="C1962" s="9">
        <v>44349</v>
      </c>
      <c r="D1962" t="s">
        <v>10</v>
      </c>
      <c r="E1962" t="s">
        <v>174</v>
      </c>
      <c r="F1962">
        <v>558</v>
      </c>
    </row>
    <row r="1963" spans="1:6">
      <c r="A1963" t="s">
        <v>2039</v>
      </c>
      <c r="B1963">
        <v>2021</v>
      </c>
      <c r="C1963" s="9">
        <v>44350</v>
      </c>
      <c r="D1963" t="s">
        <v>13</v>
      </c>
      <c r="E1963" t="s">
        <v>174</v>
      </c>
      <c r="F1963">
        <v>635</v>
      </c>
    </row>
    <row r="1964" spans="1:6">
      <c r="A1964" t="s">
        <v>2040</v>
      </c>
      <c r="B1964">
        <v>2021</v>
      </c>
      <c r="C1964" s="9">
        <v>44351</v>
      </c>
      <c r="D1964" t="s">
        <v>18</v>
      </c>
      <c r="E1964" t="s">
        <v>174</v>
      </c>
      <c r="F1964">
        <v>547</v>
      </c>
    </row>
    <row r="1965" spans="1:6">
      <c r="A1965" t="s">
        <v>2041</v>
      </c>
      <c r="B1965">
        <v>2021</v>
      </c>
      <c r="C1965" s="9">
        <v>44352</v>
      </c>
      <c r="D1965" t="s">
        <v>20</v>
      </c>
      <c r="E1965" t="s">
        <v>174</v>
      </c>
      <c r="F1965">
        <v>816</v>
      </c>
    </row>
    <row r="1966" spans="1:6">
      <c r="A1966" t="s">
        <v>2042</v>
      </c>
      <c r="B1966">
        <v>2021</v>
      </c>
      <c r="C1966" s="9">
        <v>44353</v>
      </c>
      <c r="D1966" t="s">
        <v>22</v>
      </c>
      <c r="E1966" t="s">
        <v>174</v>
      </c>
      <c r="F1966">
        <v>0</v>
      </c>
    </row>
    <row r="1967" spans="1:6">
      <c r="A1967" t="s">
        <v>2043</v>
      </c>
      <c r="B1967">
        <v>2021</v>
      </c>
      <c r="C1967" s="9">
        <v>44354</v>
      </c>
      <c r="D1967" t="s">
        <v>24</v>
      </c>
      <c r="E1967" t="s">
        <v>174</v>
      </c>
      <c r="F1967">
        <v>0</v>
      </c>
    </row>
    <row r="1968" spans="1:6">
      <c r="A1968" t="s">
        <v>2044</v>
      </c>
      <c r="B1968">
        <v>2021</v>
      </c>
      <c r="C1968" s="9">
        <v>44355</v>
      </c>
      <c r="D1968" t="s">
        <v>7</v>
      </c>
      <c r="E1968" t="s">
        <v>174</v>
      </c>
      <c r="F1968">
        <v>312</v>
      </c>
    </row>
    <row r="1969" spans="1:6">
      <c r="A1969" t="s">
        <v>2045</v>
      </c>
      <c r="B1969">
        <v>2021</v>
      </c>
      <c r="C1969" s="9">
        <v>44356</v>
      </c>
      <c r="D1969" t="s">
        <v>10</v>
      </c>
      <c r="E1969" t="s">
        <v>174</v>
      </c>
      <c r="F1969">
        <v>490</v>
      </c>
    </row>
    <row r="1970" spans="1:6">
      <c r="A1970" t="s">
        <v>2046</v>
      </c>
      <c r="B1970">
        <v>2021</v>
      </c>
      <c r="C1970" s="9">
        <v>44357</v>
      </c>
      <c r="D1970" t="s">
        <v>13</v>
      </c>
      <c r="E1970" t="s">
        <v>174</v>
      </c>
      <c r="F1970">
        <v>1412</v>
      </c>
    </row>
    <row r="1971" spans="1:6">
      <c r="A1971" t="s">
        <v>2047</v>
      </c>
      <c r="B1971">
        <v>2021</v>
      </c>
      <c r="C1971" s="9">
        <v>44358</v>
      </c>
      <c r="D1971" t="s">
        <v>18</v>
      </c>
      <c r="E1971" t="s">
        <v>174</v>
      </c>
      <c r="F1971">
        <v>1109</v>
      </c>
    </row>
    <row r="1972" spans="1:6">
      <c r="A1972" t="s">
        <v>2048</v>
      </c>
      <c r="B1972">
        <v>2021</v>
      </c>
      <c r="C1972" s="9">
        <v>44359</v>
      </c>
      <c r="D1972" t="s">
        <v>20</v>
      </c>
      <c r="E1972" t="s">
        <v>174</v>
      </c>
      <c r="F1972">
        <v>746</v>
      </c>
    </row>
    <row r="1973" spans="1:6">
      <c r="A1973" t="s">
        <v>2049</v>
      </c>
      <c r="B1973">
        <v>2021</v>
      </c>
      <c r="C1973" s="9">
        <v>44360</v>
      </c>
      <c r="D1973" t="s">
        <v>22</v>
      </c>
      <c r="E1973" t="s">
        <v>174</v>
      </c>
      <c r="F1973">
        <v>0</v>
      </c>
    </row>
    <row r="1974" spans="1:6">
      <c r="A1974" t="s">
        <v>2050</v>
      </c>
      <c r="B1974">
        <v>2021</v>
      </c>
      <c r="C1974" s="9">
        <v>44361</v>
      </c>
      <c r="D1974" t="s">
        <v>24</v>
      </c>
      <c r="E1974" t="s">
        <v>174</v>
      </c>
      <c r="F1974">
        <v>0</v>
      </c>
    </row>
    <row r="1975" spans="1:6">
      <c r="A1975" t="s">
        <v>2051</v>
      </c>
      <c r="B1975">
        <v>2021</v>
      </c>
      <c r="C1975" s="9">
        <v>44362</v>
      </c>
      <c r="D1975" t="s">
        <v>7</v>
      </c>
      <c r="E1975" t="s">
        <v>174</v>
      </c>
      <c r="F1975">
        <v>765</v>
      </c>
    </row>
    <row r="1976" spans="1:6">
      <c r="A1976" t="s">
        <v>2052</v>
      </c>
      <c r="B1976">
        <v>2021</v>
      </c>
      <c r="C1976" s="9">
        <v>44363</v>
      </c>
      <c r="D1976" t="s">
        <v>10</v>
      </c>
      <c r="E1976" t="s">
        <v>174</v>
      </c>
      <c r="F1976">
        <v>942.2</v>
      </c>
    </row>
    <row r="1977" spans="1:6">
      <c r="A1977" t="s">
        <v>2053</v>
      </c>
      <c r="B1977">
        <v>2021</v>
      </c>
      <c r="C1977" s="9">
        <v>44364</v>
      </c>
      <c r="D1977" t="s">
        <v>13</v>
      </c>
      <c r="E1977" t="s">
        <v>174</v>
      </c>
      <c r="F1977">
        <v>395.2</v>
      </c>
    </row>
    <row r="1978" spans="1:6">
      <c r="A1978" t="s">
        <v>2054</v>
      </c>
      <c r="B1978">
        <v>2021</v>
      </c>
      <c r="C1978" s="9">
        <v>44365</v>
      </c>
      <c r="D1978" t="s">
        <v>18</v>
      </c>
      <c r="E1978" t="s">
        <v>174</v>
      </c>
      <c r="F1978">
        <v>504</v>
      </c>
    </row>
    <row r="1979" spans="1:6">
      <c r="A1979" t="s">
        <v>2055</v>
      </c>
      <c r="B1979">
        <v>2021</v>
      </c>
      <c r="C1979" s="9">
        <v>44366</v>
      </c>
      <c r="D1979" t="s">
        <v>20</v>
      </c>
      <c r="E1979" t="s">
        <v>174</v>
      </c>
      <c r="F1979">
        <v>221</v>
      </c>
    </row>
    <row r="1980" spans="1:6">
      <c r="A1980" t="s">
        <v>2056</v>
      </c>
      <c r="B1980">
        <v>2021</v>
      </c>
      <c r="C1980" s="9">
        <v>44367</v>
      </c>
      <c r="D1980" t="s">
        <v>22</v>
      </c>
      <c r="E1980" t="s">
        <v>174</v>
      </c>
      <c r="F1980">
        <v>0</v>
      </c>
    </row>
    <row r="1981" spans="1:6">
      <c r="A1981" t="s">
        <v>2057</v>
      </c>
      <c r="B1981">
        <v>2021</v>
      </c>
      <c r="C1981" s="9">
        <v>44368</v>
      </c>
      <c r="D1981" t="s">
        <v>24</v>
      </c>
      <c r="E1981" t="s">
        <v>174</v>
      </c>
      <c r="F1981">
        <v>0</v>
      </c>
    </row>
    <row r="1982" spans="1:6">
      <c r="A1982" t="s">
        <v>2058</v>
      </c>
      <c r="B1982">
        <v>2021</v>
      </c>
      <c r="C1982" s="9">
        <v>44369</v>
      </c>
      <c r="D1982" t="s">
        <v>7</v>
      </c>
      <c r="E1982" t="s">
        <v>174</v>
      </c>
      <c r="F1982">
        <v>677</v>
      </c>
    </row>
    <row r="1983" spans="1:6">
      <c r="A1983" t="s">
        <v>2059</v>
      </c>
      <c r="B1983">
        <v>2021</v>
      </c>
      <c r="C1983" s="9">
        <v>44370</v>
      </c>
      <c r="D1983" t="s">
        <v>10</v>
      </c>
      <c r="E1983" t="s">
        <v>174</v>
      </c>
      <c r="F1983">
        <v>896.6</v>
      </c>
    </row>
    <row r="1984" spans="1:6">
      <c r="A1984" t="s">
        <v>2060</v>
      </c>
      <c r="B1984">
        <v>2021</v>
      </c>
      <c r="C1984" s="9">
        <v>44371</v>
      </c>
      <c r="D1984" t="s">
        <v>13</v>
      </c>
      <c r="E1984" t="s">
        <v>174</v>
      </c>
      <c r="F1984">
        <v>842</v>
      </c>
    </row>
    <row r="1985" spans="1:6">
      <c r="A1985" t="s">
        <v>2061</v>
      </c>
      <c r="B1985">
        <v>2021</v>
      </c>
      <c r="C1985" s="9">
        <v>44372</v>
      </c>
      <c r="D1985" t="s">
        <v>18</v>
      </c>
      <c r="E1985" t="s">
        <v>174</v>
      </c>
      <c r="F1985">
        <v>1051.2</v>
      </c>
    </row>
    <row r="1986" spans="1:6">
      <c r="A1986" t="s">
        <v>2062</v>
      </c>
      <c r="B1986">
        <v>2021</v>
      </c>
      <c r="C1986" s="9">
        <v>44373</v>
      </c>
      <c r="D1986" t="s">
        <v>20</v>
      </c>
      <c r="E1986" t="s">
        <v>174</v>
      </c>
      <c r="F1986">
        <v>710</v>
      </c>
    </row>
    <row r="1987" spans="1:6">
      <c r="A1987" t="s">
        <v>2063</v>
      </c>
      <c r="B1987">
        <v>2021</v>
      </c>
      <c r="C1987" s="9">
        <v>44374</v>
      </c>
      <c r="D1987" t="s">
        <v>22</v>
      </c>
      <c r="E1987" t="s">
        <v>174</v>
      </c>
      <c r="F1987">
        <v>0</v>
      </c>
    </row>
    <row r="1988" spans="1:6">
      <c r="A1988" t="s">
        <v>2064</v>
      </c>
      <c r="B1988">
        <v>2021</v>
      </c>
      <c r="C1988" s="9">
        <v>44375</v>
      </c>
      <c r="D1988" t="s">
        <v>24</v>
      </c>
      <c r="E1988" t="s">
        <v>174</v>
      </c>
      <c r="F1988">
        <v>0</v>
      </c>
    </row>
    <row r="1989" spans="1:6">
      <c r="A1989" t="s">
        <v>2065</v>
      </c>
      <c r="B1989">
        <v>2021</v>
      </c>
      <c r="C1989" s="9">
        <v>44376</v>
      </c>
      <c r="D1989" t="s">
        <v>7</v>
      </c>
      <c r="E1989" t="s">
        <v>174</v>
      </c>
      <c r="F1989">
        <v>621</v>
      </c>
    </row>
    <row r="1990" spans="1:6">
      <c r="A1990" t="s">
        <v>2066</v>
      </c>
      <c r="B1990">
        <v>2021</v>
      </c>
      <c r="C1990" s="9">
        <v>44377</v>
      </c>
      <c r="D1990" t="s">
        <v>10</v>
      </c>
      <c r="E1990" t="s">
        <v>174</v>
      </c>
      <c r="F1990">
        <v>875</v>
      </c>
    </row>
    <row r="1991" spans="1:6">
      <c r="A1991" t="s">
        <v>2067</v>
      </c>
      <c r="B1991">
        <v>2021</v>
      </c>
      <c r="C1991" s="9">
        <v>44378</v>
      </c>
      <c r="D1991" t="s">
        <v>13</v>
      </c>
      <c r="E1991" t="s">
        <v>8</v>
      </c>
      <c r="F1991">
        <v>982.8</v>
      </c>
    </row>
    <row r="1992" spans="1:6">
      <c r="A1992" t="s">
        <v>2068</v>
      </c>
      <c r="B1992">
        <v>2021</v>
      </c>
      <c r="C1992" s="9">
        <v>44379</v>
      </c>
      <c r="D1992" t="s">
        <v>18</v>
      </c>
      <c r="E1992" t="s">
        <v>8</v>
      </c>
      <c r="F1992">
        <v>746</v>
      </c>
    </row>
    <row r="1993" spans="1:6">
      <c r="A1993" t="s">
        <v>2069</v>
      </c>
      <c r="B1993">
        <v>2021</v>
      </c>
      <c r="C1993" s="9">
        <v>44380</v>
      </c>
      <c r="D1993" t="s">
        <v>20</v>
      </c>
      <c r="E1993" t="s">
        <v>8</v>
      </c>
      <c r="F1993">
        <v>701</v>
      </c>
    </row>
    <row r="1994" spans="1:6">
      <c r="A1994" t="s">
        <v>2070</v>
      </c>
      <c r="B1994">
        <v>2021</v>
      </c>
      <c r="C1994" s="9">
        <v>44381</v>
      </c>
      <c r="D1994" t="s">
        <v>22</v>
      </c>
      <c r="E1994" t="s">
        <v>8</v>
      </c>
      <c r="F1994">
        <v>0</v>
      </c>
    </row>
    <row r="1995" spans="1:6">
      <c r="A1995" t="s">
        <v>2071</v>
      </c>
      <c r="B1995">
        <v>2021</v>
      </c>
      <c r="C1995" s="9">
        <v>44382</v>
      </c>
      <c r="D1995" t="s">
        <v>24</v>
      </c>
      <c r="E1995" t="s">
        <v>8</v>
      </c>
      <c r="F1995">
        <v>0</v>
      </c>
    </row>
    <row r="1996" spans="1:6">
      <c r="A1996" t="s">
        <v>2072</v>
      </c>
      <c r="B1996">
        <v>2021</v>
      </c>
      <c r="C1996" s="9">
        <v>44383</v>
      </c>
      <c r="D1996" t="s">
        <v>7</v>
      </c>
      <c r="E1996" t="s">
        <v>8</v>
      </c>
      <c r="F1996">
        <v>636.20000000000005</v>
      </c>
    </row>
    <row r="1997" spans="1:6">
      <c r="A1997" t="s">
        <v>2073</v>
      </c>
      <c r="B1997">
        <v>2021</v>
      </c>
      <c r="C1997" s="9">
        <v>44384</v>
      </c>
      <c r="D1997" t="s">
        <v>10</v>
      </c>
      <c r="E1997" t="s">
        <v>8</v>
      </c>
      <c r="F1997">
        <v>840.8</v>
      </c>
    </row>
    <row r="1998" spans="1:6">
      <c r="A1998" t="s">
        <v>2074</v>
      </c>
      <c r="B1998">
        <v>2021</v>
      </c>
      <c r="C1998" s="9">
        <v>44385</v>
      </c>
      <c r="D1998" t="s">
        <v>13</v>
      </c>
      <c r="E1998" t="s">
        <v>8</v>
      </c>
      <c r="F1998">
        <v>704</v>
      </c>
    </row>
    <row r="1999" spans="1:6">
      <c r="A1999" t="s">
        <v>2075</v>
      </c>
      <c r="B1999">
        <v>2021</v>
      </c>
      <c r="C1999" s="9">
        <v>44386</v>
      </c>
      <c r="D1999" t="s">
        <v>18</v>
      </c>
      <c r="E1999" t="s">
        <v>8</v>
      </c>
      <c r="F1999">
        <v>791</v>
      </c>
    </row>
    <row r="2000" spans="1:6">
      <c r="A2000" t="s">
        <v>2076</v>
      </c>
      <c r="B2000">
        <v>2021</v>
      </c>
      <c r="C2000" s="9">
        <v>44387</v>
      </c>
      <c r="D2000" t="s">
        <v>20</v>
      </c>
      <c r="E2000" t="s">
        <v>8</v>
      </c>
      <c r="F2000">
        <v>681</v>
      </c>
    </row>
    <row r="2001" spans="1:6">
      <c r="A2001" t="s">
        <v>2077</v>
      </c>
      <c r="B2001">
        <v>2021</v>
      </c>
      <c r="C2001" s="9">
        <v>44388</v>
      </c>
      <c r="D2001" t="s">
        <v>22</v>
      </c>
      <c r="E2001" t="s">
        <v>8</v>
      </c>
      <c r="F2001">
        <v>0</v>
      </c>
    </row>
    <row r="2002" spans="1:6">
      <c r="A2002" t="s">
        <v>2078</v>
      </c>
      <c r="B2002">
        <v>2021</v>
      </c>
      <c r="C2002" s="9">
        <v>44389</v>
      </c>
      <c r="D2002" t="s">
        <v>24</v>
      </c>
      <c r="E2002" t="s">
        <v>8</v>
      </c>
      <c r="F2002">
        <v>0</v>
      </c>
    </row>
    <row r="2003" spans="1:6">
      <c r="A2003" t="s">
        <v>2079</v>
      </c>
      <c r="B2003">
        <v>2021</v>
      </c>
      <c r="C2003" s="9">
        <v>44390</v>
      </c>
      <c r="D2003" t="s">
        <v>7</v>
      </c>
      <c r="E2003" t="s">
        <v>8</v>
      </c>
      <c r="F2003">
        <v>962</v>
      </c>
    </row>
    <row r="2004" spans="1:6">
      <c r="A2004" t="s">
        <v>2080</v>
      </c>
      <c r="B2004">
        <v>2021</v>
      </c>
      <c r="C2004" s="9">
        <v>44391</v>
      </c>
      <c r="D2004" t="s">
        <v>10</v>
      </c>
      <c r="E2004" t="s">
        <v>8</v>
      </c>
      <c r="F2004">
        <v>0</v>
      </c>
    </row>
    <row r="2005" spans="1:6">
      <c r="A2005" t="s">
        <v>2081</v>
      </c>
      <c r="B2005">
        <v>2021</v>
      </c>
      <c r="C2005" s="9">
        <v>44392</v>
      </c>
      <c r="D2005" t="s">
        <v>13</v>
      </c>
      <c r="E2005" t="s">
        <v>8</v>
      </c>
      <c r="F2005">
        <v>789</v>
      </c>
    </row>
    <row r="2006" spans="1:6">
      <c r="A2006" t="s">
        <v>2082</v>
      </c>
      <c r="B2006">
        <v>2021</v>
      </c>
      <c r="C2006" s="9">
        <v>44393</v>
      </c>
      <c r="D2006" t="s">
        <v>18</v>
      </c>
      <c r="E2006" t="s">
        <v>8</v>
      </c>
      <c r="F2006">
        <v>736</v>
      </c>
    </row>
    <row r="2007" spans="1:6">
      <c r="A2007" t="s">
        <v>2083</v>
      </c>
      <c r="B2007">
        <v>2021</v>
      </c>
      <c r="C2007" s="9">
        <v>44394</v>
      </c>
      <c r="D2007" t="s">
        <v>20</v>
      </c>
      <c r="E2007" t="s">
        <v>8</v>
      </c>
      <c r="F2007">
        <v>588</v>
      </c>
    </row>
    <row r="2008" spans="1:6">
      <c r="A2008" t="s">
        <v>2084</v>
      </c>
      <c r="B2008">
        <v>2021</v>
      </c>
      <c r="C2008" s="9">
        <v>44395</v>
      </c>
      <c r="D2008" t="s">
        <v>22</v>
      </c>
      <c r="E2008" t="s">
        <v>8</v>
      </c>
      <c r="F2008">
        <v>0</v>
      </c>
    </row>
    <row r="2009" spans="1:6">
      <c r="A2009" t="s">
        <v>2085</v>
      </c>
      <c r="B2009">
        <v>2021</v>
      </c>
      <c r="C2009" s="9">
        <v>44396</v>
      </c>
      <c r="D2009" t="s">
        <v>24</v>
      </c>
      <c r="E2009" t="s">
        <v>8</v>
      </c>
      <c r="F2009">
        <v>0</v>
      </c>
    </row>
    <row r="2010" spans="1:6">
      <c r="A2010" t="s">
        <v>2086</v>
      </c>
      <c r="B2010">
        <v>2021</v>
      </c>
      <c r="C2010" s="9">
        <v>44397</v>
      </c>
      <c r="D2010" t="s">
        <v>7</v>
      </c>
      <c r="E2010" t="s">
        <v>8</v>
      </c>
      <c r="F2010">
        <v>651</v>
      </c>
    </row>
    <row r="2011" spans="1:6">
      <c r="A2011" t="s">
        <v>2087</v>
      </c>
      <c r="B2011">
        <v>2021</v>
      </c>
      <c r="C2011" s="9">
        <v>44398</v>
      </c>
      <c r="D2011" t="s">
        <v>10</v>
      </c>
      <c r="E2011" t="s">
        <v>8</v>
      </c>
      <c r="F2011">
        <v>736</v>
      </c>
    </row>
    <row r="2012" spans="1:6">
      <c r="A2012" t="s">
        <v>2088</v>
      </c>
      <c r="B2012">
        <v>2021</v>
      </c>
      <c r="C2012" s="9">
        <v>44399</v>
      </c>
      <c r="D2012" t="s">
        <v>13</v>
      </c>
      <c r="E2012" t="s">
        <v>8</v>
      </c>
      <c r="F2012">
        <v>575.4</v>
      </c>
    </row>
    <row r="2013" spans="1:6">
      <c r="A2013" t="s">
        <v>2089</v>
      </c>
      <c r="B2013">
        <v>2021</v>
      </c>
      <c r="C2013" s="9">
        <v>44400</v>
      </c>
      <c r="D2013" t="s">
        <v>18</v>
      </c>
      <c r="E2013" t="s">
        <v>8</v>
      </c>
      <c r="F2013">
        <v>515</v>
      </c>
    </row>
    <row r="2014" spans="1:6">
      <c r="A2014" t="s">
        <v>2090</v>
      </c>
      <c r="B2014">
        <v>2021</v>
      </c>
      <c r="C2014" s="9">
        <v>44401</v>
      </c>
      <c r="D2014" t="s">
        <v>20</v>
      </c>
      <c r="E2014" t="s">
        <v>8</v>
      </c>
      <c r="F2014">
        <v>372</v>
      </c>
    </row>
    <row r="2015" spans="1:6">
      <c r="A2015" t="s">
        <v>2091</v>
      </c>
      <c r="B2015">
        <v>2021</v>
      </c>
      <c r="C2015" s="9">
        <v>44402</v>
      </c>
      <c r="D2015" t="s">
        <v>22</v>
      </c>
      <c r="E2015" t="s">
        <v>8</v>
      </c>
      <c r="F2015">
        <v>0</v>
      </c>
    </row>
    <row r="2016" spans="1:6">
      <c r="A2016" t="s">
        <v>2092</v>
      </c>
      <c r="B2016">
        <v>2021</v>
      </c>
      <c r="C2016" s="9">
        <v>44403</v>
      </c>
      <c r="D2016" t="s">
        <v>24</v>
      </c>
      <c r="E2016" t="s">
        <v>8</v>
      </c>
      <c r="F2016">
        <v>0</v>
      </c>
    </row>
    <row r="2017" spans="1:6">
      <c r="A2017" t="s">
        <v>2093</v>
      </c>
      <c r="B2017">
        <v>2021</v>
      </c>
      <c r="C2017" s="9">
        <v>44404</v>
      </c>
      <c r="D2017" t="s">
        <v>7</v>
      </c>
      <c r="E2017" t="s">
        <v>8</v>
      </c>
      <c r="F2017">
        <v>655</v>
      </c>
    </row>
    <row r="2018" spans="1:6">
      <c r="A2018" t="s">
        <v>2094</v>
      </c>
      <c r="B2018">
        <v>2021</v>
      </c>
      <c r="C2018" s="9">
        <v>44405</v>
      </c>
      <c r="D2018" t="s">
        <v>10</v>
      </c>
      <c r="E2018" t="s">
        <v>8</v>
      </c>
      <c r="F2018">
        <v>588</v>
      </c>
    </row>
    <row r="2019" spans="1:6">
      <c r="A2019" t="s">
        <v>2095</v>
      </c>
      <c r="B2019">
        <v>2021</v>
      </c>
      <c r="C2019" s="9">
        <v>44406</v>
      </c>
      <c r="D2019" t="s">
        <v>13</v>
      </c>
      <c r="E2019" t="s">
        <v>8</v>
      </c>
      <c r="F2019">
        <v>887.8</v>
      </c>
    </row>
    <row r="2020" spans="1:6">
      <c r="A2020" t="s">
        <v>2096</v>
      </c>
      <c r="B2020">
        <v>2021</v>
      </c>
      <c r="C2020" s="9">
        <v>44407</v>
      </c>
      <c r="D2020" t="s">
        <v>18</v>
      </c>
      <c r="E2020" t="s">
        <v>8</v>
      </c>
      <c r="F2020">
        <v>859</v>
      </c>
    </row>
    <row r="2021" spans="1:6">
      <c r="A2021" t="s">
        <v>2097</v>
      </c>
      <c r="B2021">
        <v>2021</v>
      </c>
      <c r="C2021" s="9">
        <v>44408</v>
      </c>
      <c r="D2021" t="s">
        <v>20</v>
      </c>
      <c r="E2021" t="s">
        <v>8</v>
      </c>
      <c r="F2021">
        <v>669.6</v>
      </c>
    </row>
    <row r="2022" spans="1:6">
      <c r="A2022" t="s">
        <v>2098</v>
      </c>
      <c r="B2022">
        <v>2021</v>
      </c>
      <c r="C2022" s="9">
        <v>44409</v>
      </c>
      <c r="D2022" t="s">
        <v>22</v>
      </c>
      <c r="E2022" t="s">
        <v>234</v>
      </c>
      <c r="F2022">
        <v>0</v>
      </c>
    </row>
    <row r="2023" spans="1:6">
      <c r="A2023" t="s">
        <v>2099</v>
      </c>
      <c r="B2023">
        <v>2021</v>
      </c>
      <c r="C2023" s="9">
        <v>44410</v>
      </c>
      <c r="D2023" t="s">
        <v>24</v>
      </c>
      <c r="E2023" t="s">
        <v>234</v>
      </c>
      <c r="F2023">
        <v>0</v>
      </c>
    </row>
    <row r="2024" spans="1:6">
      <c r="A2024" t="s">
        <v>2100</v>
      </c>
      <c r="B2024">
        <v>2021</v>
      </c>
      <c r="C2024" s="9">
        <v>44411</v>
      </c>
      <c r="D2024" t="s">
        <v>7</v>
      </c>
      <c r="E2024" t="s">
        <v>234</v>
      </c>
      <c r="F2024">
        <v>588.20000000000005</v>
      </c>
    </row>
    <row r="2025" spans="1:6">
      <c r="A2025" t="s">
        <v>2101</v>
      </c>
      <c r="B2025">
        <v>2021</v>
      </c>
      <c r="C2025" s="9">
        <v>44412</v>
      </c>
      <c r="D2025" t="s">
        <v>10</v>
      </c>
      <c r="E2025" t="s">
        <v>234</v>
      </c>
      <c r="F2025">
        <v>646.79999999999995</v>
      </c>
    </row>
    <row r="2026" spans="1:6">
      <c r="A2026" t="s">
        <v>2102</v>
      </c>
      <c r="B2026">
        <v>2021</v>
      </c>
      <c r="C2026" s="9">
        <v>44413</v>
      </c>
      <c r="D2026" t="s">
        <v>13</v>
      </c>
      <c r="E2026" t="s">
        <v>234</v>
      </c>
      <c r="F2026">
        <v>980.8</v>
      </c>
    </row>
    <row r="2027" spans="1:6">
      <c r="A2027" t="s">
        <v>2103</v>
      </c>
      <c r="B2027">
        <v>2021</v>
      </c>
      <c r="C2027" s="9">
        <v>44414</v>
      </c>
      <c r="D2027" t="s">
        <v>18</v>
      </c>
      <c r="E2027" t="s">
        <v>234</v>
      </c>
      <c r="F2027">
        <v>492.2</v>
      </c>
    </row>
    <row r="2028" spans="1:6">
      <c r="A2028" t="s">
        <v>2104</v>
      </c>
      <c r="B2028">
        <v>2021</v>
      </c>
      <c r="C2028" s="9">
        <v>44415</v>
      </c>
      <c r="D2028" t="s">
        <v>20</v>
      </c>
      <c r="E2028" t="s">
        <v>234</v>
      </c>
      <c r="F2028">
        <v>579</v>
      </c>
    </row>
    <row r="2029" spans="1:6">
      <c r="A2029" t="s">
        <v>2105</v>
      </c>
      <c r="B2029">
        <v>2021</v>
      </c>
      <c r="C2029" s="9">
        <v>44416</v>
      </c>
      <c r="D2029" t="s">
        <v>22</v>
      </c>
      <c r="E2029" t="s">
        <v>234</v>
      </c>
      <c r="F2029">
        <v>0</v>
      </c>
    </row>
    <row r="2030" spans="1:6">
      <c r="A2030" t="s">
        <v>2106</v>
      </c>
      <c r="B2030">
        <v>2021</v>
      </c>
      <c r="C2030" s="9">
        <v>44417</v>
      </c>
      <c r="D2030" t="s">
        <v>24</v>
      </c>
      <c r="E2030" t="s">
        <v>234</v>
      </c>
      <c r="F2030">
        <v>0</v>
      </c>
    </row>
    <row r="2031" spans="1:6">
      <c r="A2031" t="s">
        <v>2107</v>
      </c>
      <c r="B2031">
        <v>2021</v>
      </c>
      <c r="C2031" s="9">
        <v>44418</v>
      </c>
      <c r="D2031" t="s">
        <v>7</v>
      </c>
      <c r="E2031" t="s">
        <v>234</v>
      </c>
      <c r="F2031">
        <v>622</v>
      </c>
    </row>
    <row r="2032" spans="1:6">
      <c r="A2032" t="s">
        <v>2108</v>
      </c>
      <c r="B2032">
        <v>2021</v>
      </c>
      <c r="C2032" s="9">
        <v>44419</v>
      </c>
      <c r="D2032" t="s">
        <v>10</v>
      </c>
      <c r="E2032" t="s">
        <v>234</v>
      </c>
      <c r="F2032">
        <v>707</v>
      </c>
    </row>
    <row r="2033" spans="1:6">
      <c r="A2033" t="s">
        <v>2109</v>
      </c>
      <c r="B2033">
        <v>2021</v>
      </c>
      <c r="C2033" s="9">
        <v>44420</v>
      </c>
      <c r="D2033" t="s">
        <v>13</v>
      </c>
      <c r="E2033" t="s">
        <v>234</v>
      </c>
      <c r="F2033">
        <v>625</v>
      </c>
    </row>
    <row r="2034" spans="1:6">
      <c r="A2034" t="s">
        <v>2110</v>
      </c>
      <c r="B2034">
        <v>2021</v>
      </c>
      <c r="C2034" s="9">
        <v>44421</v>
      </c>
      <c r="D2034" t="s">
        <v>18</v>
      </c>
      <c r="E2034" t="s">
        <v>234</v>
      </c>
      <c r="F2034">
        <v>753</v>
      </c>
    </row>
    <row r="2035" spans="1:6">
      <c r="A2035" t="s">
        <v>2111</v>
      </c>
      <c r="B2035">
        <v>2021</v>
      </c>
      <c r="C2035" s="9">
        <v>44422</v>
      </c>
      <c r="D2035" t="s">
        <v>20</v>
      </c>
      <c r="E2035" t="s">
        <v>234</v>
      </c>
      <c r="F2035">
        <v>724</v>
      </c>
    </row>
    <row r="2036" spans="1:6">
      <c r="A2036" t="s">
        <v>2112</v>
      </c>
      <c r="B2036">
        <v>2021</v>
      </c>
      <c r="C2036" s="9">
        <v>44423</v>
      </c>
      <c r="D2036" t="s">
        <v>22</v>
      </c>
      <c r="E2036" t="s">
        <v>234</v>
      </c>
      <c r="F2036">
        <v>0</v>
      </c>
    </row>
    <row r="2037" spans="1:6">
      <c r="A2037" t="s">
        <v>2113</v>
      </c>
      <c r="B2037">
        <v>2021</v>
      </c>
      <c r="C2037" s="9">
        <v>44424</v>
      </c>
      <c r="D2037" t="s">
        <v>24</v>
      </c>
      <c r="E2037" t="s">
        <v>234</v>
      </c>
      <c r="F2037">
        <v>0</v>
      </c>
    </row>
    <row r="2038" spans="1:6">
      <c r="A2038" t="s">
        <v>2114</v>
      </c>
      <c r="B2038">
        <v>2021</v>
      </c>
      <c r="C2038" s="9">
        <v>44425</v>
      </c>
      <c r="D2038" t="s">
        <v>7</v>
      </c>
      <c r="E2038" t="s">
        <v>234</v>
      </c>
      <c r="F2038">
        <v>325.8</v>
      </c>
    </row>
    <row r="2039" spans="1:6">
      <c r="A2039" t="s">
        <v>2115</v>
      </c>
      <c r="B2039">
        <v>2021</v>
      </c>
      <c r="C2039" s="9">
        <v>44426</v>
      </c>
      <c r="D2039" t="s">
        <v>10</v>
      </c>
      <c r="E2039" t="s">
        <v>234</v>
      </c>
      <c r="F2039">
        <v>947</v>
      </c>
    </row>
    <row r="2040" spans="1:6">
      <c r="A2040" t="s">
        <v>2116</v>
      </c>
      <c r="B2040">
        <v>2021</v>
      </c>
      <c r="C2040" s="9">
        <v>44427</v>
      </c>
      <c r="D2040" t="s">
        <v>13</v>
      </c>
      <c r="E2040" t="s">
        <v>234</v>
      </c>
      <c r="F2040">
        <v>627</v>
      </c>
    </row>
    <row r="2041" spans="1:6">
      <c r="A2041" t="s">
        <v>2117</v>
      </c>
      <c r="B2041">
        <v>2021</v>
      </c>
      <c r="C2041" s="9">
        <v>44428</v>
      </c>
      <c r="D2041" t="s">
        <v>18</v>
      </c>
      <c r="E2041" t="s">
        <v>234</v>
      </c>
      <c r="F2041">
        <v>498</v>
      </c>
    </row>
    <row r="2042" spans="1:6">
      <c r="A2042" t="s">
        <v>2118</v>
      </c>
      <c r="B2042">
        <v>2021</v>
      </c>
      <c r="C2042" s="9">
        <v>44429</v>
      </c>
      <c r="D2042" t="s">
        <v>20</v>
      </c>
      <c r="E2042" t="s">
        <v>234</v>
      </c>
      <c r="F2042">
        <v>482</v>
      </c>
    </row>
    <row r="2043" spans="1:6">
      <c r="A2043" t="s">
        <v>2119</v>
      </c>
      <c r="B2043">
        <v>2021</v>
      </c>
      <c r="C2043" s="9">
        <v>44430</v>
      </c>
      <c r="D2043" t="s">
        <v>22</v>
      </c>
      <c r="E2043" t="s">
        <v>234</v>
      </c>
      <c r="F2043">
        <v>0</v>
      </c>
    </row>
    <row r="2044" spans="1:6">
      <c r="A2044" t="s">
        <v>2120</v>
      </c>
      <c r="B2044">
        <v>2021</v>
      </c>
      <c r="C2044" s="9">
        <v>44431</v>
      </c>
      <c r="D2044" t="s">
        <v>24</v>
      </c>
      <c r="E2044" t="s">
        <v>234</v>
      </c>
      <c r="F2044">
        <v>0</v>
      </c>
    </row>
    <row r="2045" spans="1:6">
      <c r="A2045" t="s">
        <v>2121</v>
      </c>
      <c r="B2045">
        <v>2021</v>
      </c>
      <c r="C2045" s="9">
        <v>44432</v>
      </c>
      <c r="D2045" t="s">
        <v>7</v>
      </c>
      <c r="E2045" t="s">
        <v>234</v>
      </c>
      <c r="F2045">
        <v>464</v>
      </c>
    </row>
    <row r="2046" spans="1:6">
      <c r="A2046" t="s">
        <v>2122</v>
      </c>
      <c r="B2046">
        <v>2021</v>
      </c>
      <c r="C2046" s="9">
        <v>44433</v>
      </c>
      <c r="D2046" t="s">
        <v>10</v>
      </c>
      <c r="E2046" t="s">
        <v>234</v>
      </c>
      <c r="F2046">
        <v>589</v>
      </c>
    </row>
    <row r="2047" spans="1:6">
      <c r="A2047" t="s">
        <v>2123</v>
      </c>
      <c r="B2047">
        <v>2021</v>
      </c>
      <c r="C2047" s="9">
        <v>44434</v>
      </c>
      <c r="D2047" t="s">
        <v>13</v>
      </c>
      <c r="E2047" t="s">
        <v>234</v>
      </c>
      <c r="F2047">
        <v>625</v>
      </c>
    </row>
    <row r="2048" spans="1:6">
      <c r="A2048" t="s">
        <v>2124</v>
      </c>
      <c r="B2048">
        <v>2021</v>
      </c>
      <c r="C2048" s="9">
        <v>44435</v>
      </c>
      <c r="D2048" t="s">
        <v>18</v>
      </c>
      <c r="E2048" t="s">
        <v>234</v>
      </c>
      <c r="F2048">
        <v>705.8</v>
      </c>
    </row>
    <row r="2049" spans="1:6">
      <c r="A2049" t="s">
        <v>2125</v>
      </c>
      <c r="B2049">
        <v>2021</v>
      </c>
      <c r="C2049" s="9">
        <v>44436</v>
      </c>
      <c r="D2049" t="s">
        <v>20</v>
      </c>
      <c r="E2049" t="s">
        <v>234</v>
      </c>
      <c r="F2049">
        <v>491</v>
      </c>
    </row>
    <row r="2050" spans="1:6">
      <c r="A2050" t="s">
        <v>2126</v>
      </c>
      <c r="B2050">
        <v>2021</v>
      </c>
      <c r="C2050" s="9">
        <v>44437</v>
      </c>
      <c r="D2050" t="s">
        <v>22</v>
      </c>
      <c r="E2050" t="s">
        <v>234</v>
      </c>
      <c r="F2050">
        <v>0</v>
      </c>
    </row>
    <row r="2051" spans="1:6">
      <c r="A2051" t="s">
        <v>2127</v>
      </c>
      <c r="B2051">
        <v>2021</v>
      </c>
      <c r="C2051" s="9">
        <v>44438</v>
      </c>
      <c r="D2051" t="s">
        <v>24</v>
      </c>
      <c r="E2051" t="s">
        <v>234</v>
      </c>
      <c r="F2051">
        <v>0</v>
      </c>
    </row>
    <row r="2052" spans="1:6">
      <c r="A2052" t="s">
        <v>2128</v>
      </c>
      <c r="B2052">
        <v>2021</v>
      </c>
      <c r="C2052" s="9">
        <v>44439</v>
      </c>
      <c r="D2052" t="s">
        <v>7</v>
      </c>
      <c r="E2052" t="s">
        <v>234</v>
      </c>
      <c r="F2052">
        <v>469</v>
      </c>
    </row>
    <row r="2053" spans="1:6">
      <c r="A2053" t="s">
        <v>2129</v>
      </c>
      <c r="B2053">
        <v>2021</v>
      </c>
      <c r="C2053" s="9">
        <v>44440</v>
      </c>
      <c r="D2053" t="s">
        <v>10</v>
      </c>
      <c r="E2053" t="s">
        <v>265</v>
      </c>
      <c r="F2053">
        <v>336</v>
      </c>
    </row>
    <row r="2054" spans="1:6">
      <c r="A2054" t="s">
        <v>2130</v>
      </c>
      <c r="B2054">
        <v>2021</v>
      </c>
      <c r="C2054" s="9">
        <v>44441</v>
      </c>
      <c r="D2054" t="s">
        <v>13</v>
      </c>
      <c r="E2054" t="s">
        <v>265</v>
      </c>
      <c r="F2054">
        <v>396</v>
      </c>
    </row>
    <row r="2055" spans="1:6">
      <c r="A2055" t="s">
        <v>2131</v>
      </c>
      <c r="B2055">
        <v>2021</v>
      </c>
      <c r="C2055" s="9">
        <v>44442</v>
      </c>
      <c r="D2055" t="s">
        <v>18</v>
      </c>
      <c r="E2055" t="s">
        <v>265</v>
      </c>
      <c r="F2055">
        <v>784.8</v>
      </c>
    </row>
    <row r="2056" spans="1:6">
      <c r="A2056" t="s">
        <v>2132</v>
      </c>
      <c r="B2056">
        <v>2021</v>
      </c>
      <c r="C2056" s="9">
        <v>44443</v>
      </c>
      <c r="D2056" t="s">
        <v>20</v>
      </c>
      <c r="E2056" t="s">
        <v>265</v>
      </c>
      <c r="F2056">
        <v>509</v>
      </c>
    </row>
    <row r="2057" spans="1:6">
      <c r="A2057" t="s">
        <v>2133</v>
      </c>
      <c r="B2057">
        <v>2021</v>
      </c>
      <c r="C2057" s="9">
        <v>44444</v>
      </c>
      <c r="D2057" t="s">
        <v>22</v>
      </c>
      <c r="E2057" t="s">
        <v>265</v>
      </c>
      <c r="F2057">
        <v>0</v>
      </c>
    </row>
    <row r="2058" spans="1:6">
      <c r="A2058" t="s">
        <v>2134</v>
      </c>
      <c r="B2058">
        <v>2021</v>
      </c>
      <c r="C2058" s="9">
        <v>44445</v>
      </c>
      <c r="D2058" t="s">
        <v>24</v>
      </c>
      <c r="E2058" t="s">
        <v>265</v>
      </c>
      <c r="F2058">
        <v>0</v>
      </c>
    </row>
    <row r="2059" spans="1:6">
      <c r="A2059" t="s">
        <v>2135</v>
      </c>
      <c r="B2059">
        <v>2021</v>
      </c>
      <c r="C2059" s="9">
        <v>44446</v>
      </c>
      <c r="D2059" t="s">
        <v>7</v>
      </c>
      <c r="E2059" t="s">
        <v>265</v>
      </c>
      <c r="F2059">
        <v>632</v>
      </c>
    </row>
    <row r="2060" spans="1:6">
      <c r="A2060" t="s">
        <v>2136</v>
      </c>
      <c r="B2060">
        <v>2021</v>
      </c>
      <c r="C2060" s="9">
        <v>44447</v>
      </c>
      <c r="D2060" t="s">
        <v>10</v>
      </c>
      <c r="E2060" t="s">
        <v>265</v>
      </c>
      <c r="F2060">
        <v>420</v>
      </c>
    </row>
    <row r="2061" spans="1:6">
      <c r="A2061" t="s">
        <v>2137</v>
      </c>
      <c r="B2061">
        <v>2021</v>
      </c>
      <c r="C2061" s="9">
        <v>44448</v>
      </c>
      <c r="D2061" t="s">
        <v>13</v>
      </c>
      <c r="E2061" t="s">
        <v>265</v>
      </c>
      <c r="F2061">
        <v>627</v>
      </c>
    </row>
    <row r="2062" spans="1:6">
      <c r="A2062" t="s">
        <v>2138</v>
      </c>
      <c r="B2062">
        <v>2021</v>
      </c>
      <c r="C2062" s="9">
        <v>44449</v>
      </c>
      <c r="D2062" t="s">
        <v>18</v>
      </c>
      <c r="E2062" t="s">
        <v>265</v>
      </c>
      <c r="F2062">
        <v>408</v>
      </c>
    </row>
    <row r="2063" spans="1:6">
      <c r="A2063" t="s">
        <v>2139</v>
      </c>
      <c r="B2063">
        <v>2021</v>
      </c>
      <c r="C2063" s="9">
        <v>44450</v>
      </c>
      <c r="D2063" t="s">
        <v>20</v>
      </c>
      <c r="E2063" t="s">
        <v>265</v>
      </c>
      <c r="F2063">
        <v>0</v>
      </c>
    </row>
    <row r="2064" spans="1:6">
      <c r="A2064" t="s">
        <v>2140</v>
      </c>
      <c r="B2064">
        <v>2021</v>
      </c>
      <c r="C2064" s="9">
        <v>44451</v>
      </c>
      <c r="D2064" t="s">
        <v>22</v>
      </c>
      <c r="E2064" t="s">
        <v>265</v>
      </c>
      <c r="F2064">
        <v>0</v>
      </c>
    </row>
    <row r="2065" spans="1:6">
      <c r="A2065" t="s">
        <v>2141</v>
      </c>
      <c r="B2065">
        <v>2021</v>
      </c>
      <c r="C2065" s="9">
        <v>44452</v>
      </c>
      <c r="D2065" t="s">
        <v>24</v>
      </c>
      <c r="E2065" t="s">
        <v>265</v>
      </c>
      <c r="F2065">
        <v>0</v>
      </c>
    </row>
    <row r="2066" spans="1:6">
      <c r="A2066" t="s">
        <v>2142</v>
      </c>
      <c r="B2066">
        <v>2021</v>
      </c>
      <c r="C2066" s="9">
        <v>44453</v>
      </c>
      <c r="D2066" t="s">
        <v>7</v>
      </c>
      <c r="E2066" t="s">
        <v>265</v>
      </c>
      <c r="F2066">
        <v>615</v>
      </c>
    </row>
    <row r="2067" spans="1:6">
      <c r="A2067" t="s">
        <v>2143</v>
      </c>
      <c r="B2067">
        <v>2021</v>
      </c>
      <c r="C2067" s="9">
        <v>44454</v>
      </c>
      <c r="D2067" t="s">
        <v>10</v>
      </c>
      <c r="E2067" t="s">
        <v>265</v>
      </c>
      <c r="F2067">
        <v>983.6</v>
      </c>
    </row>
    <row r="2068" spans="1:6">
      <c r="A2068" t="s">
        <v>2144</v>
      </c>
      <c r="B2068">
        <v>2021</v>
      </c>
      <c r="C2068" s="9">
        <v>44455</v>
      </c>
      <c r="D2068" t="s">
        <v>13</v>
      </c>
      <c r="E2068" t="s">
        <v>265</v>
      </c>
      <c r="F2068">
        <v>703</v>
      </c>
    </row>
    <row r="2069" spans="1:6">
      <c r="A2069" t="s">
        <v>2145</v>
      </c>
      <c r="B2069">
        <v>2021</v>
      </c>
      <c r="C2069" s="9">
        <v>44456</v>
      </c>
      <c r="D2069" t="s">
        <v>18</v>
      </c>
      <c r="E2069" t="s">
        <v>265</v>
      </c>
      <c r="F2069">
        <v>801.2</v>
      </c>
    </row>
    <row r="2070" spans="1:6">
      <c r="A2070" t="s">
        <v>2146</v>
      </c>
      <c r="B2070">
        <v>2021</v>
      </c>
      <c r="C2070" s="9">
        <v>44457</v>
      </c>
      <c r="D2070" t="s">
        <v>20</v>
      </c>
      <c r="E2070" t="s">
        <v>265</v>
      </c>
      <c r="F2070">
        <v>797</v>
      </c>
    </row>
    <row r="2071" spans="1:6">
      <c r="A2071" t="s">
        <v>2147</v>
      </c>
      <c r="B2071">
        <v>2021</v>
      </c>
      <c r="C2071" s="9">
        <v>44458</v>
      </c>
      <c r="D2071" t="s">
        <v>22</v>
      </c>
      <c r="E2071" t="s">
        <v>265</v>
      </c>
      <c r="F2071">
        <v>0</v>
      </c>
    </row>
    <row r="2072" spans="1:6">
      <c r="A2072" t="s">
        <v>2148</v>
      </c>
      <c r="B2072">
        <v>2021</v>
      </c>
      <c r="C2072" s="9">
        <v>44459</v>
      </c>
      <c r="D2072" t="s">
        <v>24</v>
      </c>
      <c r="E2072" t="s">
        <v>265</v>
      </c>
      <c r="F2072">
        <v>0</v>
      </c>
    </row>
    <row r="2073" spans="1:6">
      <c r="A2073" t="s">
        <v>2149</v>
      </c>
      <c r="B2073">
        <v>2021</v>
      </c>
      <c r="C2073" s="9">
        <v>44460</v>
      </c>
      <c r="D2073" t="s">
        <v>7</v>
      </c>
      <c r="E2073" t="s">
        <v>265</v>
      </c>
      <c r="F2073">
        <v>558</v>
      </c>
    </row>
    <row r="2074" spans="1:6">
      <c r="A2074" t="s">
        <v>2150</v>
      </c>
      <c r="B2074">
        <v>2021</v>
      </c>
      <c r="C2074" s="9">
        <v>44461</v>
      </c>
      <c r="D2074" t="s">
        <v>10</v>
      </c>
      <c r="E2074" t="s">
        <v>265</v>
      </c>
      <c r="F2074">
        <v>826.2</v>
      </c>
    </row>
    <row r="2075" spans="1:6">
      <c r="A2075" t="s">
        <v>2151</v>
      </c>
      <c r="B2075">
        <v>2021</v>
      </c>
      <c r="C2075" s="9">
        <v>44462</v>
      </c>
      <c r="D2075" t="s">
        <v>13</v>
      </c>
      <c r="E2075" t="s">
        <v>265</v>
      </c>
      <c r="F2075">
        <v>462.2</v>
      </c>
    </row>
    <row r="2076" spans="1:6">
      <c r="A2076" t="s">
        <v>2152</v>
      </c>
      <c r="B2076">
        <v>2021</v>
      </c>
      <c r="C2076" s="9">
        <v>44463</v>
      </c>
      <c r="D2076" t="s">
        <v>18</v>
      </c>
      <c r="E2076" t="s">
        <v>265</v>
      </c>
      <c r="F2076">
        <v>432</v>
      </c>
    </row>
    <row r="2077" spans="1:6">
      <c r="A2077" t="s">
        <v>2153</v>
      </c>
      <c r="B2077">
        <v>2021</v>
      </c>
      <c r="C2077" s="9">
        <v>44464</v>
      </c>
      <c r="D2077" t="s">
        <v>20</v>
      </c>
      <c r="E2077" t="s">
        <v>265</v>
      </c>
      <c r="F2077">
        <v>295</v>
      </c>
    </row>
    <row r="2078" spans="1:6">
      <c r="A2078" t="s">
        <v>2154</v>
      </c>
      <c r="B2078">
        <v>2021</v>
      </c>
      <c r="C2078" s="9">
        <v>44465</v>
      </c>
      <c r="D2078" t="s">
        <v>22</v>
      </c>
      <c r="E2078" t="s">
        <v>265</v>
      </c>
      <c r="F2078">
        <v>52</v>
      </c>
    </row>
    <row r="2079" spans="1:6">
      <c r="A2079" t="s">
        <v>2155</v>
      </c>
      <c r="B2079">
        <v>2021</v>
      </c>
      <c r="C2079" s="9">
        <v>44466</v>
      </c>
      <c r="D2079" t="s">
        <v>24</v>
      </c>
      <c r="E2079" t="s">
        <v>265</v>
      </c>
      <c r="F2079">
        <v>0</v>
      </c>
    </row>
    <row r="2080" spans="1:6">
      <c r="A2080" t="s">
        <v>2156</v>
      </c>
      <c r="B2080">
        <v>2021</v>
      </c>
      <c r="C2080" s="9">
        <v>44467</v>
      </c>
      <c r="D2080" t="s">
        <v>7</v>
      </c>
      <c r="E2080" t="s">
        <v>265</v>
      </c>
      <c r="F2080">
        <v>348</v>
      </c>
    </row>
    <row r="2081" spans="1:6">
      <c r="A2081" t="s">
        <v>2157</v>
      </c>
      <c r="B2081">
        <v>2021</v>
      </c>
      <c r="C2081" s="9">
        <v>44468</v>
      </c>
      <c r="D2081" t="s">
        <v>10</v>
      </c>
      <c r="E2081" t="s">
        <v>265</v>
      </c>
      <c r="F2081">
        <v>542</v>
      </c>
    </row>
    <row r="2082" spans="1:6">
      <c r="A2082" t="s">
        <v>2158</v>
      </c>
      <c r="B2082">
        <v>2021</v>
      </c>
      <c r="C2082" s="9">
        <v>44469</v>
      </c>
      <c r="D2082" t="s">
        <v>13</v>
      </c>
      <c r="E2082" t="s">
        <v>265</v>
      </c>
      <c r="F2082">
        <v>475.8</v>
      </c>
    </row>
    <row r="2083" spans="1:6">
      <c r="A2083" t="s">
        <v>2159</v>
      </c>
      <c r="B2083">
        <v>2021</v>
      </c>
      <c r="C2083" s="9">
        <v>44470</v>
      </c>
      <c r="D2083" t="s">
        <v>18</v>
      </c>
      <c r="E2083" t="s">
        <v>296</v>
      </c>
      <c r="F2083">
        <v>555</v>
      </c>
    </row>
    <row r="2084" spans="1:6">
      <c r="A2084" t="s">
        <v>2160</v>
      </c>
      <c r="B2084">
        <v>2021</v>
      </c>
      <c r="C2084" s="9">
        <v>44471</v>
      </c>
      <c r="D2084" t="s">
        <v>20</v>
      </c>
      <c r="E2084" t="s">
        <v>296</v>
      </c>
      <c r="F2084">
        <v>755</v>
      </c>
    </row>
    <row r="2085" spans="1:6">
      <c r="A2085" t="s">
        <v>2161</v>
      </c>
      <c r="B2085">
        <v>2021</v>
      </c>
      <c r="C2085" s="9">
        <v>44472</v>
      </c>
      <c r="D2085" t="s">
        <v>22</v>
      </c>
      <c r="E2085" t="s">
        <v>296</v>
      </c>
      <c r="F2085">
        <v>0</v>
      </c>
    </row>
    <row r="2086" spans="1:6">
      <c r="A2086" t="s">
        <v>2162</v>
      </c>
      <c r="B2086">
        <v>2021</v>
      </c>
      <c r="C2086" s="9">
        <v>44473</v>
      </c>
      <c r="D2086" t="s">
        <v>24</v>
      </c>
      <c r="E2086" t="s">
        <v>296</v>
      </c>
      <c r="F2086">
        <v>0</v>
      </c>
    </row>
    <row r="2087" spans="1:6">
      <c r="A2087" t="s">
        <v>2163</v>
      </c>
      <c r="B2087">
        <v>2021</v>
      </c>
      <c r="C2087" s="9">
        <v>44474</v>
      </c>
      <c r="D2087" t="s">
        <v>7</v>
      </c>
      <c r="E2087" t="s">
        <v>296</v>
      </c>
      <c r="F2087">
        <v>436</v>
      </c>
    </row>
    <row r="2088" spans="1:6">
      <c r="A2088" t="s">
        <v>2164</v>
      </c>
      <c r="B2088">
        <v>2021</v>
      </c>
      <c r="C2088" s="9">
        <v>44475</v>
      </c>
      <c r="D2088" t="s">
        <v>10</v>
      </c>
      <c r="E2088" t="s">
        <v>296</v>
      </c>
      <c r="F2088">
        <v>807.8</v>
      </c>
    </row>
    <row r="2089" spans="1:6">
      <c r="A2089" t="s">
        <v>2165</v>
      </c>
      <c r="B2089">
        <v>2021</v>
      </c>
      <c r="C2089" s="9">
        <v>44476</v>
      </c>
      <c r="D2089" t="s">
        <v>13</v>
      </c>
      <c r="E2089" t="s">
        <v>296</v>
      </c>
      <c r="F2089">
        <v>770.8</v>
      </c>
    </row>
    <row r="2090" spans="1:6">
      <c r="A2090" t="s">
        <v>2166</v>
      </c>
      <c r="B2090">
        <v>2021</v>
      </c>
      <c r="C2090" s="9">
        <v>44477</v>
      </c>
      <c r="D2090" t="s">
        <v>18</v>
      </c>
      <c r="E2090" t="s">
        <v>296</v>
      </c>
      <c r="F2090">
        <v>564</v>
      </c>
    </row>
    <row r="2091" spans="1:6">
      <c r="A2091" t="s">
        <v>2167</v>
      </c>
      <c r="B2091">
        <v>2021</v>
      </c>
      <c r="C2091" s="9">
        <v>44478</v>
      </c>
      <c r="D2091" t="s">
        <v>20</v>
      </c>
      <c r="E2091" t="s">
        <v>296</v>
      </c>
      <c r="F2091">
        <v>377</v>
      </c>
    </row>
    <row r="2092" spans="1:6">
      <c r="A2092" t="s">
        <v>2168</v>
      </c>
      <c r="B2092">
        <v>2021</v>
      </c>
      <c r="C2092" s="9">
        <v>44479</v>
      </c>
      <c r="D2092" t="s">
        <v>22</v>
      </c>
      <c r="E2092" t="s">
        <v>296</v>
      </c>
      <c r="F2092">
        <v>0</v>
      </c>
    </row>
    <row r="2093" spans="1:6">
      <c r="A2093" t="s">
        <v>2169</v>
      </c>
      <c r="B2093">
        <v>2021</v>
      </c>
      <c r="C2093" s="9">
        <v>44480</v>
      </c>
      <c r="D2093" t="s">
        <v>24</v>
      </c>
      <c r="E2093" t="s">
        <v>296</v>
      </c>
      <c r="F2093">
        <v>0</v>
      </c>
    </row>
    <row r="2094" spans="1:6">
      <c r="A2094" t="s">
        <v>2170</v>
      </c>
      <c r="B2094">
        <v>2021</v>
      </c>
      <c r="C2094" s="9">
        <v>44481</v>
      </c>
      <c r="D2094" t="s">
        <v>7</v>
      </c>
      <c r="E2094" t="s">
        <v>296</v>
      </c>
      <c r="F2094">
        <v>327</v>
      </c>
    </row>
    <row r="2095" spans="1:6">
      <c r="A2095" t="s">
        <v>2171</v>
      </c>
      <c r="B2095">
        <v>2021</v>
      </c>
      <c r="C2095" s="9">
        <v>44482</v>
      </c>
      <c r="D2095" t="s">
        <v>10</v>
      </c>
      <c r="E2095" t="s">
        <v>296</v>
      </c>
      <c r="F2095">
        <v>351</v>
      </c>
    </row>
    <row r="2096" spans="1:6">
      <c r="A2096" t="s">
        <v>2172</v>
      </c>
      <c r="B2096">
        <v>2021</v>
      </c>
      <c r="C2096" s="9">
        <v>44483</v>
      </c>
      <c r="D2096" t="s">
        <v>13</v>
      </c>
      <c r="E2096" t="s">
        <v>296</v>
      </c>
      <c r="F2096">
        <v>574</v>
      </c>
    </row>
    <row r="2097" spans="1:6">
      <c r="A2097" t="s">
        <v>2173</v>
      </c>
      <c r="B2097">
        <v>2021</v>
      </c>
      <c r="C2097" s="9">
        <v>44484</v>
      </c>
      <c r="D2097" t="s">
        <v>18</v>
      </c>
      <c r="E2097" t="s">
        <v>296</v>
      </c>
      <c r="F2097">
        <v>594.5</v>
      </c>
    </row>
    <row r="2098" spans="1:6">
      <c r="A2098" t="s">
        <v>2174</v>
      </c>
      <c r="B2098">
        <v>2021</v>
      </c>
      <c r="C2098" s="9">
        <v>44485</v>
      </c>
      <c r="D2098" t="s">
        <v>20</v>
      </c>
      <c r="E2098" t="s">
        <v>296</v>
      </c>
      <c r="F2098">
        <v>385</v>
      </c>
    </row>
    <row r="2099" spans="1:6">
      <c r="A2099" t="s">
        <v>2175</v>
      </c>
      <c r="B2099">
        <v>2021</v>
      </c>
      <c r="C2099" s="9">
        <v>44486</v>
      </c>
      <c r="D2099" t="s">
        <v>22</v>
      </c>
      <c r="E2099" t="s">
        <v>296</v>
      </c>
      <c r="F2099">
        <v>0</v>
      </c>
    </row>
    <row r="2100" spans="1:6">
      <c r="A2100" t="s">
        <v>2176</v>
      </c>
      <c r="B2100">
        <v>2021</v>
      </c>
      <c r="C2100" s="9">
        <v>44487</v>
      </c>
      <c r="D2100" t="s">
        <v>24</v>
      </c>
      <c r="E2100" t="s">
        <v>296</v>
      </c>
      <c r="F2100">
        <v>0</v>
      </c>
    </row>
    <row r="2101" spans="1:6">
      <c r="A2101" t="s">
        <v>2177</v>
      </c>
      <c r="B2101">
        <v>2021</v>
      </c>
      <c r="C2101" s="9">
        <v>44488</v>
      </c>
      <c r="D2101" t="s">
        <v>7</v>
      </c>
      <c r="E2101" t="s">
        <v>296</v>
      </c>
      <c r="F2101">
        <v>432</v>
      </c>
    </row>
    <row r="2102" spans="1:6">
      <c r="A2102" t="s">
        <v>2178</v>
      </c>
      <c r="B2102">
        <v>2021</v>
      </c>
      <c r="C2102" s="9">
        <v>44489</v>
      </c>
      <c r="D2102" t="s">
        <v>10</v>
      </c>
      <c r="E2102" t="s">
        <v>296</v>
      </c>
      <c r="F2102">
        <v>459</v>
      </c>
    </row>
    <row r="2103" spans="1:6">
      <c r="A2103" t="s">
        <v>2179</v>
      </c>
      <c r="B2103">
        <v>2021</v>
      </c>
      <c r="C2103" s="9">
        <v>44490</v>
      </c>
      <c r="D2103" t="s">
        <v>13</v>
      </c>
      <c r="E2103" t="s">
        <v>296</v>
      </c>
      <c r="F2103">
        <v>454</v>
      </c>
    </row>
    <row r="2104" spans="1:6">
      <c r="A2104" t="s">
        <v>2180</v>
      </c>
      <c r="B2104">
        <v>2021</v>
      </c>
      <c r="C2104" s="9">
        <v>44491</v>
      </c>
      <c r="D2104" t="s">
        <v>18</v>
      </c>
      <c r="E2104" t="s">
        <v>296</v>
      </c>
      <c r="F2104">
        <v>729</v>
      </c>
    </row>
    <row r="2105" spans="1:6">
      <c r="A2105" t="s">
        <v>2181</v>
      </c>
      <c r="B2105">
        <v>2021</v>
      </c>
      <c r="C2105" s="9">
        <v>44492</v>
      </c>
      <c r="D2105" t="s">
        <v>20</v>
      </c>
      <c r="E2105" t="s">
        <v>296</v>
      </c>
      <c r="F2105">
        <v>526</v>
      </c>
    </row>
    <row r="2106" spans="1:6">
      <c r="A2106" t="s">
        <v>2182</v>
      </c>
      <c r="B2106">
        <v>2021</v>
      </c>
      <c r="C2106" s="9">
        <v>44493</v>
      </c>
      <c r="D2106" t="s">
        <v>22</v>
      </c>
      <c r="E2106" t="s">
        <v>296</v>
      </c>
      <c r="F2106">
        <v>0</v>
      </c>
    </row>
    <row r="2107" spans="1:6">
      <c r="A2107" t="s">
        <v>2183</v>
      </c>
      <c r="B2107">
        <v>2021</v>
      </c>
      <c r="C2107" s="9">
        <v>44494</v>
      </c>
      <c r="D2107" t="s">
        <v>24</v>
      </c>
      <c r="E2107" t="s">
        <v>296</v>
      </c>
      <c r="F2107">
        <v>0</v>
      </c>
    </row>
    <row r="2108" spans="1:6">
      <c r="A2108" t="s">
        <v>2184</v>
      </c>
      <c r="B2108">
        <v>2021</v>
      </c>
      <c r="C2108" s="9">
        <v>44495</v>
      </c>
      <c r="D2108" t="s">
        <v>7</v>
      </c>
      <c r="E2108" t="s">
        <v>296</v>
      </c>
      <c r="F2108">
        <v>343</v>
      </c>
    </row>
    <row r="2109" spans="1:6">
      <c r="A2109" t="s">
        <v>2185</v>
      </c>
      <c r="B2109">
        <v>2021</v>
      </c>
      <c r="C2109" s="9">
        <v>44496</v>
      </c>
      <c r="D2109" t="s">
        <v>10</v>
      </c>
      <c r="E2109" t="s">
        <v>296</v>
      </c>
      <c r="F2109">
        <v>617</v>
      </c>
    </row>
    <row r="2110" spans="1:6">
      <c r="A2110" t="s">
        <v>2186</v>
      </c>
      <c r="B2110">
        <v>2021</v>
      </c>
      <c r="C2110" s="9">
        <v>44497</v>
      </c>
      <c r="D2110" t="s">
        <v>13</v>
      </c>
      <c r="E2110" t="s">
        <v>296</v>
      </c>
      <c r="F2110">
        <v>393.8</v>
      </c>
    </row>
    <row r="2111" spans="1:6">
      <c r="A2111" t="s">
        <v>2187</v>
      </c>
      <c r="B2111">
        <v>2021</v>
      </c>
      <c r="C2111" s="9">
        <v>44498</v>
      </c>
      <c r="D2111" t="s">
        <v>18</v>
      </c>
      <c r="E2111" t="s">
        <v>296</v>
      </c>
      <c r="F2111">
        <v>522</v>
      </c>
    </row>
    <row r="2112" spans="1:6">
      <c r="A2112" t="s">
        <v>2188</v>
      </c>
      <c r="B2112">
        <v>2021</v>
      </c>
      <c r="C2112" s="9">
        <v>44499</v>
      </c>
      <c r="D2112" t="s">
        <v>20</v>
      </c>
      <c r="E2112" t="s">
        <v>296</v>
      </c>
      <c r="F2112">
        <v>773</v>
      </c>
    </row>
    <row r="2113" spans="1:6">
      <c r="A2113" t="s">
        <v>2189</v>
      </c>
      <c r="B2113">
        <v>2021</v>
      </c>
      <c r="C2113" s="9">
        <v>44500</v>
      </c>
      <c r="D2113" t="s">
        <v>22</v>
      </c>
      <c r="E2113" t="s">
        <v>296</v>
      </c>
      <c r="F2113">
        <v>0</v>
      </c>
    </row>
    <row r="2114" spans="1:6">
      <c r="A2114" t="s">
        <v>2190</v>
      </c>
      <c r="B2114">
        <v>2021</v>
      </c>
      <c r="C2114" s="9">
        <v>44502</v>
      </c>
      <c r="D2114" t="s">
        <v>7</v>
      </c>
      <c r="E2114" t="s">
        <v>328</v>
      </c>
      <c r="F2114">
        <v>654.79999999999995</v>
      </c>
    </row>
    <row r="2115" spans="1:6">
      <c r="A2115" t="s">
        <v>2191</v>
      </c>
      <c r="B2115">
        <v>2021</v>
      </c>
      <c r="C2115" s="9">
        <v>44503</v>
      </c>
      <c r="D2115" t="s">
        <v>10</v>
      </c>
      <c r="E2115" t="s">
        <v>328</v>
      </c>
      <c r="F2115">
        <v>490</v>
      </c>
    </row>
    <row r="2116" spans="1:6">
      <c r="A2116" t="s">
        <v>2192</v>
      </c>
      <c r="B2116">
        <v>2021</v>
      </c>
      <c r="C2116" s="9">
        <v>44504</v>
      </c>
      <c r="D2116" t="s">
        <v>13</v>
      </c>
      <c r="E2116" t="s">
        <v>328</v>
      </c>
      <c r="F2116">
        <v>655</v>
      </c>
    </row>
    <row r="2117" spans="1:6">
      <c r="A2117" t="s">
        <v>2193</v>
      </c>
      <c r="B2117">
        <v>2021</v>
      </c>
      <c r="C2117" s="9">
        <v>44505</v>
      </c>
      <c r="D2117" t="s">
        <v>18</v>
      </c>
      <c r="E2117" t="s">
        <v>328</v>
      </c>
      <c r="F2117">
        <v>347</v>
      </c>
    </row>
    <row r="2118" spans="1:6">
      <c r="A2118" t="s">
        <v>2194</v>
      </c>
      <c r="B2118">
        <v>2021</v>
      </c>
      <c r="C2118" s="9">
        <v>44506</v>
      </c>
      <c r="D2118" t="s">
        <v>20</v>
      </c>
      <c r="E2118" t="s">
        <v>328</v>
      </c>
      <c r="F2118">
        <v>0</v>
      </c>
    </row>
    <row r="2119" spans="1:6">
      <c r="A2119" t="s">
        <v>2195</v>
      </c>
      <c r="B2119">
        <v>2021</v>
      </c>
      <c r="C2119" s="9">
        <v>44507</v>
      </c>
      <c r="D2119" t="s">
        <v>22</v>
      </c>
      <c r="E2119" t="s">
        <v>328</v>
      </c>
      <c r="F2119">
        <v>0</v>
      </c>
    </row>
    <row r="2120" spans="1:6">
      <c r="A2120" t="s">
        <v>2196</v>
      </c>
      <c r="B2120">
        <v>2021</v>
      </c>
      <c r="C2120" s="9">
        <v>44508</v>
      </c>
      <c r="D2120" t="s">
        <v>24</v>
      </c>
      <c r="E2120" t="s">
        <v>328</v>
      </c>
      <c r="F2120">
        <v>10</v>
      </c>
    </row>
    <row r="2121" spans="1:6">
      <c r="A2121" t="s">
        <v>2197</v>
      </c>
      <c r="B2121">
        <v>2021</v>
      </c>
      <c r="C2121" s="9">
        <v>44509</v>
      </c>
      <c r="D2121" t="s">
        <v>7</v>
      </c>
      <c r="E2121" t="s">
        <v>328</v>
      </c>
      <c r="F2121">
        <v>845</v>
      </c>
    </row>
    <row r="2122" spans="1:6">
      <c r="A2122" t="s">
        <v>2198</v>
      </c>
      <c r="B2122">
        <v>2021</v>
      </c>
      <c r="C2122" s="9">
        <v>44510</v>
      </c>
      <c r="D2122" t="s">
        <v>10</v>
      </c>
      <c r="E2122" t="s">
        <v>328</v>
      </c>
      <c r="F2122">
        <v>1051</v>
      </c>
    </row>
    <row r="2123" spans="1:6">
      <c r="A2123" t="s">
        <v>2199</v>
      </c>
      <c r="B2123">
        <v>2021</v>
      </c>
      <c r="C2123" s="9">
        <v>44511</v>
      </c>
      <c r="D2123" t="s">
        <v>13</v>
      </c>
      <c r="E2123" t="s">
        <v>328</v>
      </c>
      <c r="F2123">
        <v>0</v>
      </c>
    </row>
    <row r="2124" spans="1:6">
      <c r="A2124" t="s">
        <v>2200</v>
      </c>
      <c r="B2124">
        <v>2021</v>
      </c>
      <c r="C2124" s="9">
        <v>44512</v>
      </c>
      <c r="D2124" t="s">
        <v>18</v>
      </c>
      <c r="E2124" t="s">
        <v>328</v>
      </c>
      <c r="F2124">
        <v>1057.8</v>
      </c>
    </row>
    <row r="2125" spans="1:6">
      <c r="A2125" t="s">
        <v>2201</v>
      </c>
      <c r="B2125">
        <v>2021</v>
      </c>
      <c r="C2125" s="9">
        <v>44513</v>
      </c>
      <c r="D2125" t="s">
        <v>20</v>
      </c>
      <c r="E2125" t="s">
        <v>328</v>
      </c>
      <c r="F2125">
        <v>866</v>
      </c>
    </row>
    <row r="2126" spans="1:6">
      <c r="A2126" t="s">
        <v>2202</v>
      </c>
      <c r="B2126">
        <v>2021</v>
      </c>
      <c r="C2126" s="9">
        <v>44514</v>
      </c>
      <c r="D2126" t="s">
        <v>22</v>
      </c>
      <c r="E2126" t="s">
        <v>328</v>
      </c>
      <c r="F2126">
        <v>0</v>
      </c>
    </row>
    <row r="2127" spans="1:6">
      <c r="A2127" t="s">
        <v>2203</v>
      </c>
      <c r="B2127">
        <v>2021</v>
      </c>
      <c r="C2127" s="9">
        <v>44515</v>
      </c>
      <c r="D2127" t="s">
        <v>24</v>
      </c>
      <c r="E2127" t="s">
        <v>328</v>
      </c>
      <c r="F2127">
        <v>0</v>
      </c>
    </row>
    <row r="2128" spans="1:6">
      <c r="A2128" t="s">
        <v>2204</v>
      </c>
      <c r="B2128">
        <v>2021</v>
      </c>
      <c r="C2128" s="9">
        <v>44516</v>
      </c>
      <c r="D2128" t="s">
        <v>7</v>
      </c>
      <c r="E2128" t="s">
        <v>328</v>
      </c>
      <c r="F2128">
        <v>870.8</v>
      </c>
    </row>
    <row r="2129" spans="1:6">
      <c r="A2129" t="s">
        <v>2205</v>
      </c>
      <c r="B2129">
        <v>2021</v>
      </c>
      <c r="C2129" s="9">
        <v>44517</v>
      </c>
      <c r="D2129" t="s">
        <v>10</v>
      </c>
      <c r="E2129" t="s">
        <v>328</v>
      </c>
      <c r="F2129">
        <v>611</v>
      </c>
    </row>
    <row r="2130" spans="1:6">
      <c r="A2130" t="s">
        <v>2206</v>
      </c>
      <c r="B2130">
        <v>2021</v>
      </c>
      <c r="C2130" s="9">
        <v>44518</v>
      </c>
      <c r="D2130" t="s">
        <v>13</v>
      </c>
      <c r="E2130" t="s">
        <v>328</v>
      </c>
      <c r="F2130">
        <v>630</v>
      </c>
    </row>
    <row r="2131" spans="1:6">
      <c r="A2131" t="s">
        <v>2207</v>
      </c>
      <c r="B2131">
        <v>2021</v>
      </c>
      <c r="C2131" s="9">
        <v>44519</v>
      </c>
      <c r="D2131" t="s">
        <v>18</v>
      </c>
      <c r="E2131" t="s">
        <v>328</v>
      </c>
      <c r="F2131">
        <v>459</v>
      </c>
    </row>
    <row r="2132" spans="1:6">
      <c r="A2132" t="s">
        <v>2208</v>
      </c>
      <c r="B2132">
        <v>2021</v>
      </c>
      <c r="C2132" s="9">
        <v>44520</v>
      </c>
      <c r="D2132" t="s">
        <v>20</v>
      </c>
      <c r="E2132" t="s">
        <v>328</v>
      </c>
      <c r="F2132">
        <v>345</v>
      </c>
    </row>
    <row r="2133" spans="1:6">
      <c r="A2133" t="s">
        <v>2209</v>
      </c>
      <c r="B2133">
        <v>2021</v>
      </c>
      <c r="C2133" s="9">
        <v>44521</v>
      </c>
      <c r="D2133" t="s">
        <v>22</v>
      </c>
      <c r="E2133" t="s">
        <v>328</v>
      </c>
      <c r="F2133">
        <v>0</v>
      </c>
    </row>
    <row r="2134" spans="1:6">
      <c r="A2134" t="s">
        <v>2210</v>
      </c>
      <c r="B2134">
        <v>2021</v>
      </c>
      <c r="C2134" s="9">
        <v>44522</v>
      </c>
      <c r="D2134" t="s">
        <v>24</v>
      </c>
      <c r="E2134" t="s">
        <v>328</v>
      </c>
      <c r="F2134">
        <v>0</v>
      </c>
    </row>
    <row r="2135" spans="1:6">
      <c r="A2135" t="s">
        <v>2211</v>
      </c>
      <c r="B2135">
        <v>2021</v>
      </c>
      <c r="C2135" s="9">
        <v>44523</v>
      </c>
      <c r="D2135" t="s">
        <v>7</v>
      </c>
      <c r="E2135" t="s">
        <v>328</v>
      </c>
      <c r="F2135">
        <v>346.8</v>
      </c>
    </row>
    <row r="2136" spans="1:6">
      <c r="A2136" t="s">
        <v>2212</v>
      </c>
      <c r="B2136">
        <v>2021</v>
      </c>
      <c r="C2136" s="9">
        <v>44524</v>
      </c>
      <c r="D2136" t="s">
        <v>10</v>
      </c>
      <c r="E2136" t="s">
        <v>328</v>
      </c>
      <c r="F2136">
        <v>747</v>
      </c>
    </row>
    <row r="2137" spans="1:6">
      <c r="A2137" t="s">
        <v>2213</v>
      </c>
      <c r="B2137">
        <v>2021</v>
      </c>
      <c r="C2137" s="9">
        <v>44525</v>
      </c>
      <c r="D2137" t="s">
        <v>13</v>
      </c>
      <c r="E2137" t="s">
        <v>328</v>
      </c>
      <c r="F2137">
        <v>401.8</v>
      </c>
    </row>
    <row r="2138" spans="1:6">
      <c r="A2138" t="s">
        <v>2214</v>
      </c>
      <c r="B2138">
        <v>2021</v>
      </c>
      <c r="C2138" s="9">
        <v>44526</v>
      </c>
      <c r="D2138" t="s">
        <v>18</v>
      </c>
      <c r="E2138" t="s">
        <v>328</v>
      </c>
      <c r="F2138">
        <v>412.4</v>
      </c>
    </row>
    <row r="2139" spans="1:6">
      <c r="A2139" t="s">
        <v>2215</v>
      </c>
      <c r="B2139">
        <v>2021</v>
      </c>
      <c r="C2139" s="9">
        <v>44527</v>
      </c>
      <c r="D2139" t="s">
        <v>20</v>
      </c>
      <c r="E2139" t="s">
        <v>328</v>
      </c>
      <c r="F2139">
        <v>755</v>
      </c>
    </row>
    <row r="2140" spans="1:6">
      <c r="A2140" t="s">
        <v>2216</v>
      </c>
      <c r="B2140">
        <v>2021</v>
      </c>
      <c r="C2140" s="9">
        <v>44528</v>
      </c>
      <c r="D2140" t="s">
        <v>22</v>
      </c>
      <c r="E2140" t="s">
        <v>328</v>
      </c>
      <c r="F2140">
        <v>0</v>
      </c>
    </row>
    <row r="2141" spans="1:6">
      <c r="A2141" t="s">
        <v>2217</v>
      </c>
      <c r="B2141">
        <v>2021</v>
      </c>
      <c r="C2141" s="9">
        <v>44529</v>
      </c>
      <c r="D2141" t="s">
        <v>24</v>
      </c>
      <c r="E2141" t="s">
        <v>328</v>
      </c>
      <c r="F2141">
        <v>0</v>
      </c>
    </row>
    <row r="2142" spans="1:6">
      <c r="A2142" t="s">
        <v>2218</v>
      </c>
      <c r="B2142">
        <v>2021</v>
      </c>
      <c r="C2142" s="9">
        <v>44530</v>
      </c>
      <c r="D2142" t="s">
        <v>7</v>
      </c>
      <c r="E2142" t="s">
        <v>328</v>
      </c>
      <c r="F2142">
        <v>310</v>
      </c>
    </row>
    <row r="2143" spans="1:6">
      <c r="A2143" t="s">
        <v>2219</v>
      </c>
      <c r="B2143">
        <v>2021</v>
      </c>
      <c r="C2143" s="9">
        <v>44531</v>
      </c>
      <c r="D2143" t="s">
        <v>10</v>
      </c>
      <c r="E2143" t="s">
        <v>358</v>
      </c>
      <c r="F2143">
        <v>835.6</v>
      </c>
    </row>
    <row r="2144" spans="1:6">
      <c r="A2144" t="s">
        <v>2220</v>
      </c>
      <c r="B2144">
        <v>2021</v>
      </c>
      <c r="C2144" s="9">
        <v>44532</v>
      </c>
      <c r="D2144" t="s">
        <v>13</v>
      </c>
      <c r="E2144" t="s">
        <v>358</v>
      </c>
      <c r="F2144">
        <v>713</v>
      </c>
    </row>
    <row r="2145" spans="1:6">
      <c r="A2145" t="s">
        <v>2221</v>
      </c>
      <c r="B2145">
        <v>2021</v>
      </c>
      <c r="C2145" s="9">
        <v>44533</v>
      </c>
      <c r="D2145" t="s">
        <v>18</v>
      </c>
      <c r="E2145" t="s">
        <v>358</v>
      </c>
      <c r="F2145">
        <v>562.79999999999995</v>
      </c>
    </row>
    <row r="2146" spans="1:6">
      <c r="A2146" t="s">
        <v>2222</v>
      </c>
      <c r="B2146">
        <v>2021</v>
      </c>
      <c r="C2146" s="9">
        <v>44534</v>
      </c>
      <c r="D2146" t="s">
        <v>20</v>
      </c>
      <c r="E2146" t="s">
        <v>358</v>
      </c>
      <c r="F2146">
        <v>469</v>
      </c>
    </row>
    <row r="2147" spans="1:6">
      <c r="A2147" t="s">
        <v>2223</v>
      </c>
      <c r="B2147">
        <v>2021</v>
      </c>
      <c r="C2147" s="9">
        <v>44535</v>
      </c>
      <c r="D2147" t="s">
        <v>22</v>
      </c>
      <c r="E2147" t="s">
        <v>358</v>
      </c>
      <c r="F2147">
        <v>0</v>
      </c>
    </row>
    <row r="2148" spans="1:6">
      <c r="A2148" t="s">
        <v>2224</v>
      </c>
      <c r="B2148">
        <v>2021</v>
      </c>
      <c r="C2148" s="9">
        <v>44536</v>
      </c>
      <c r="D2148" t="s">
        <v>24</v>
      </c>
      <c r="E2148" t="s">
        <v>358</v>
      </c>
      <c r="F2148">
        <v>0</v>
      </c>
    </row>
    <row r="2149" spans="1:6">
      <c r="A2149" t="s">
        <v>2225</v>
      </c>
      <c r="B2149">
        <v>2021</v>
      </c>
      <c r="C2149" s="9">
        <v>44537</v>
      </c>
      <c r="D2149" t="s">
        <v>7</v>
      </c>
      <c r="E2149" t="s">
        <v>358</v>
      </c>
      <c r="F2149">
        <v>0</v>
      </c>
    </row>
    <row r="2150" spans="1:6">
      <c r="A2150" t="s">
        <v>2226</v>
      </c>
      <c r="B2150">
        <v>2021</v>
      </c>
      <c r="C2150" s="9">
        <v>44538</v>
      </c>
      <c r="D2150" t="s">
        <v>10</v>
      </c>
      <c r="E2150" t="s">
        <v>358</v>
      </c>
      <c r="F2150">
        <v>986.5</v>
      </c>
    </row>
    <row r="2151" spans="1:6">
      <c r="A2151" t="s">
        <v>2227</v>
      </c>
      <c r="B2151">
        <v>2021</v>
      </c>
      <c r="C2151" s="9">
        <v>44539</v>
      </c>
      <c r="D2151" t="s">
        <v>13</v>
      </c>
      <c r="E2151" t="s">
        <v>358</v>
      </c>
      <c r="F2151">
        <v>601.79999999999995</v>
      </c>
    </row>
    <row r="2152" spans="1:6">
      <c r="A2152" t="s">
        <v>2228</v>
      </c>
      <c r="B2152">
        <v>2021</v>
      </c>
      <c r="C2152" s="9">
        <v>44540</v>
      </c>
      <c r="D2152" t="s">
        <v>18</v>
      </c>
      <c r="E2152" t="s">
        <v>358</v>
      </c>
      <c r="F2152">
        <v>414</v>
      </c>
    </row>
    <row r="2153" spans="1:6">
      <c r="A2153" t="s">
        <v>2229</v>
      </c>
      <c r="B2153">
        <v>2021</v>
      </c>
      <c r="C2153" s="9">
        <v>44541</v>
      </c>
      <c r="D2153" t="s">
        <v>20</v>
      </c>
      <c r="E2153" t="s">
        <v>358</v>
      </c>
      <c r="F2153">
        <v>683</v>
      </c>
    </row>
    <row r="2154" spans="1:6">
      <c r="A2154" t="s">
        <v>2230</v>
      </c>
      <c r="B2154">
        <v>2021</v>
      </c>
      <c r="C2154" s="9">
        <v>44542</v>
      </c>
      <c r="D2154" t="s">
        <v>22</v>
      </c>
      <c r="E2154" t="s">
        <v>358</v>
      </c>
      <c r="F2154">
        <v>0</v>
      </c>
    </row>
    <row r="2155" spans="1:6">
      <c r="A2155" t="s">
        <v>2231</v>
      </c>
      <c r="B2155">
        <v>2021</v>
      </c>
      <c r="C2155" s="9">
        <v>44543</v>
      </c>
      <c r="D2155" t="s">
        <v>24</v>
      </c>
      <c r="E2155" t="s">
        <v>358</v>
      </c>
      <c r="F2155">
        <v>0</v>
      </c>
    </row>
    <row r="2156" spans="1:6">
      <c r="A2156" t="s">
        <v>2232</v>
      </c>
      <c r="B2156">
        <v>2021</v>
      </c>
      <c r="C2156" s="9">
        <v>44544</v>
      </c>
      <c r="D2156" t="s">
        <v>7</v>
      </c>
      <c r="E2156" t="s">
        <v>358</v>
      </c>
      <c r="F2156">
        <v>654.20000000000005</v>
      </c>
    </row>
    <row r="2157" spans="1:6">
      <c r="A2157" t="s">
        <v>2233</v>
      </c>
      <c r="B2157">
        <v>2021</v>
      </c>
      <c r="C2157" s="9">
        <v>44545</v>
      </c>
      <c r="D2157" t="s">
        <v>10</v>
      </c>
      <c r="E2157" t="s">
        <v>358</v>
      </c>
      <c r="F2157">
        <v>833.3</v>
      </c>
    </row>
    <row r="2158" spans="1:6">
      <c r="A2158" t="s">
        <v>2234</v>
      </c>
      <c r="B2158">
        <v>2021</v>
      </c>
      <c r="C2158" s="9">
        <v>44546</v>
      </c>
      <c r="D2158" t="s">
        <v>13</v>
      </c>
      <c r="E2158" t="s">
        <v>358</v>
      </c>
      <c r="F2158">
        <v>527</v>
      </c>
    </row>
    <row r="2159" spans="1:6">
      <c r="A2159" t="s">
        <v>2235</v>
      </c>
      <c r="B2159">
        <v>2021</v>
      </c>
      <c r="C2159" s="9">
        <v>44547</v>
      </c>
      <c r="D2159" t="s">
        <v>18</v>
      </c>
      <c r="E2159" t="s">
        <v>358</v>
      </c>
      <c r="F2159">
        <v>852</v>
      </c>
    </row>
    <row r="2160" spans="1:6">
      <c r="A2160" t="s">
        <v>2236</v>
      </c>
      <c r="B2160">
        <v>2021</v>
      </c>
      <c r="C2160" s="9">
        <v>44548</v>
      </c>
      <c r="D2160" t="s">
        <v>20</v>
      </c>
      <c r="E2160" t="s">
        <v>358</v>
      </c>
      <c r="F2160">
        <v>949</v>
      </c>
    </row>
    <row r="2161" spans="1:6">
      <c r="A2161" t="s">
        <v>2237</v>
      </c>
      <c r="B2161">
        <v>2021</v>
      </c>
      <c r="C2161" s="9">
        <v>44549</v>
      </c>
      <c r="D2161" t="s">
        <v>22</v>
      </c>
      <c r="E2161" t="s">
        <v>358</v>
      </c>
      <c r="F2161">
        <v>0</v>
      </c>
    </row>
    <row r="2162" spans="1:6">
      <c r="A2162" t="s">
        <v>2238</v>
      </c>
      <c r="B2162">
        <v>2021</v>
      </c>
      <c r="C2162" s="9">
        <v>44550</v>
      </c>
      <c r="D2162" t="s">
        <v>24</v>
      </c>
      <c r="E2162" t="s">
        <v>358</v>
      </c>
      <c r="F2162">
        <v>971.8</v>
      </c>
    </row>
    <row r="2163" spans="1:6">
      <c r="A2163" t="s">
        <v>2239</v>
      </c>
      <c r="B2163">
        <v>2021</v>
      </c>
      <c r="C2163" s="9">
        <v>44551</v>
      </c>
      <c r="D2163" t="s">
        <v>7</v>
      </c>
      <c r="E2163" t="s">
        <v>358</v>
      </c>
      <c r="F2163">
        <v>590</v>
      </c>
    </row>
    <row r="2164" spans="1:6">
      <c r="A2164" t="s">
        <v>2240</v>
      </c>
      <c r="B2164">
        <v>2021</v>
      </c>
      <c r="C2164" s="9">
        <v>44552</v>
      </c>
      <c r="D2164" t="s">
        <v>10</v>
      </c>
      <c r="E2164" t="s">
        <v>358</v>
      </c>
      <c r="F2164">
        <v>870</v>
      </c>
    </row>
    <row r="2165" spans="1:6">
      <c r="A2165" t="s">
        <v>2241</v>
      </c>
      <c r="B2165">
        <v>2021</v>
      </c>
      <c r="C2165" s="9">
        <v>44553</v>
      </c>
      <c r="D2165" t="s">
        <v>13</v>
      </c>
      <c r="E2165" t="s">
        <v>358</v>
      </c>
      <c r="F2165">
        <v>894.8</v>
      </c>
    </row>
    <row r="2166" spans="1:6">
      <c r="A2166" t="s">
        <v>2242</v>
      </c>
      <c r="B2166">
        <v>2021</v>
      </c>
      <c r="C2166" s="9">
        <v>44554</v>
      </c>
      <c r="D2166" t="s">
        <v>18</v>
      </c>
      <c r="E2166" t="s">
        <v>358</v>
      </c>
      <c r="F2166">
        <v>774.8</v>
      </c>
    </row>
    <row r="2167" spans="1:6">
      <c r="A2167" t="s">
        <v>2243</v>
      </c>
      <c r="B2167">
        <v>2021</v>
      </c>
      <c r="C2167" s="9">
        <v>44555</v>
      </c>
      <c r="D2167" t="s">
        <v>20</v>
      </c>
      <c r="E2167" t="s">
        <v>358</v>
      </c>
      <c r="F2167">
        <v>0</v>
      </c>
    </row>
    <row r="2168" spans="1:6">
      <c r="A2168" t="s">
        <v>2244</v>
      </c>
      <c r="B2168">
        <v>2021</v>
      </c>
      <c r="C2168" s="9">
        <v>44556</v>
      </c>
      <c r="D2168" t="s">
        <v>22</v>
      </c>
      <c r="E2168" t="s">
        <v>358</v>
      </c>
      <c r="F2168">
        <v>0</v>
      </c>
    </row>
    <row r="2169" spans="1:6">
      <c r="A2169" t="s">
        <v>2245</v>
      </c>
      <c r="B2169">
        <v>2021</v>
      </c>
      <c r="C2169" s="9">
        <v>44557</v>
      </c>
      <c r="D2169" t="s">
        <v>24</v>
      </c>
      <c r="E2169" t="s">
        <v>358</v>
      </c>
      <c r="F2169">
        <v>176</v>
      </c>
    </row>
    <row r="2170" spans="1:6">
      <c r="A2170" t="s">
        <v>2246</v>
      </c>
      <c r="B2170">
        <v>2021</v>
      </c>
      <c r="C2170" s="9">
        <v>44558</v>
      </c>
      <c r="D2170" t="s">
        <v>7</v>
      </c>
      <c r="E2170" t="s">
        <v>358</v>
      </c>
      <c r="F2170">
        <v>534</v>
      </c>
    </row>
    <row r="2171" spans="1:6">
      <c r="A2171" t="s">
        <v>2247</v>
      </c>
      <c r="B2171">
        <v>2021</v>
      </c>
      <c r="C2171" s="9">
        <v>44559</v>
      </c>
      <c r="D2171" t="s">
        <v>10</v>
      </c>
      <c r="E2171" t="s">
        <v>358</v>
      </c>
      <c r="F2171">
        <v>711</v>
      </c>
    </row>
    <row r="2172" spans="1:6">
      <c r="A2172" t="s">
        <v>2248</v>
      </c>
      <c r="B2172">
        <v>2021</v>
      </c>
      <c r="C2172" s="9">
        <v>44560</v>
      </c>
      <c r="D2172" t="s">
        <v>13</v>
      </c>
      <c r="E2172" t="s">
        <v>358</v>
      </c>
      <c r="F2172">
        <v>936</v>
      </c>
    </row>
    <row r="2173" spans="1:6">
      <c r="A2173" t="s">
        <v>2249</v>
      </c>
      <c r="B2173">
        <v>2021</v>
      </c>
      <c r="C2173" s="9">
        <v>44561</v>
      </c>
      <c r="D2173" t="s">
        <v>18</v>
      </c>
      <c r="E2173" t="s">
        <v>358</v>
      </c>
      <c r="F2173">
        <v>471</v>
      </c>
    </row>
    <row r="2174" spans="1:6">
      <c r="A2174" t="s">
        <v>2250</v>
      </c>
      <c r="B2174">
        <v>2022</v>
      </c>
      <c r="C2174" s="9">
        <v>44562</v>
      </c>
      <c r="D2174" t="s">
        <v>20</v>
      </c>
      <c r="E2174" t="s">
        <v>15</v>
      </c>
      <c r="F2174">
        <v>0</v>
      </c>
    </row>
    <row r="2175" spans="1:6">
      <c r="A2175" t="s">
        <v>2251</v>
      </c>
      <c r="B2175">
        <v>2022</v>
      </c>
      <c r="C2175" s="9">
        <v>44563</v>
      </c>
      <c r="D2175" t="s">
        <v>22</v>
      </c>
      <c r="E2175" t="s">
        <v>15</v>
      </c>
      <c r="F2175">
        <v>0</v>
      </c>
    </row>
    <row r="2176" spans="1:6">
      <c r="A2176" t="s">
        <v>2252</v>
      </c>
      <c r="B2176">
        <v>2022</v>
      </c>
      <c r="C2176" s="9">
        <v>44564</v>
      </c>
      <c r="D2176" t="s">
        <v>24</v>
      </c>
      <c r="E2176" t="s">
        <v>15</v>
      </c>
      <c r="F2176">
        <v>0</v>
      </c>
    </row>
    <row r="2177" spans="1:6">
      <c r="A2177" t="s">
        <v>2253</v>
      </c>
      <c r="B2177">
        <v>2022</v>
      </c>
      <c r="C2177" s="9">
        <v>44565</v>
      </c>
      <c r="D2177" t="s">
        <v>7</v>
      </c>
      <c r="E2177" t="s">
        <v>15</v>
      </c>
      <c r="F2177">
        <v>0</v>
      </c>
    </row>
    <row r="2178" spans="1:6">
      <c r="A2178" t="s">
        <v>2254</v>
      </c>
      <c r="B2178">
        <v>2022</v>
      </c>
      <c r="C2178" s="9">
        <v>44566</v>
      </c>
      <c r="D2178" t="s">
        <v>10</v>
      </c>
      <c r="E2178" t="s">
        <v>15</v>
      </c>
      <c r="F2178">
        <v>0</v>
      </c>
    </row>
    <row r="2179" spans="1:6">
      <c r="A2179" t="s">
        <v>2255</v>
      </c>
      <c r="B2179">
        <v>2022</v>
      </c>
      <c r="C2179" s="9">
        <v>44567</v>
      </c>
      <c r="D2179" t="s">
        <v>13</v>
      </c>
      <c r="E2179" t="s">
        <v>15</v>
      </c>
      <c r="F2179">
        <v>0</v>
      </c>
    </row>
    <row r="2180" spans="1:6">
      <c r="A2180" t="s">
        <v>2256</v>
      </c>
      <c r="B2180">
        <v>2022</v>
      </c>
      <c r="C2180" s="9">
        <v>44568</v>
      </c>
      <c r="D2180" t="s">
        <v>18</v>
      </c>
      <c r="E2180" t="s">
        <v>15</v>
      </c>
      <c r="F2180">
        <v>635.5</v>
      </c>
    </row>
    <row r="2181" spans="1:6">
      <c r="A2181" t="s">
        <v>2257</v>
      </c>
      <c r="B2181">
        <v>2022</v>
      </c>
      <c r="C2181" s="9">
        <v>44569</v>
      </c>
      <c r="D2181" t="s">
        <v>20</v>
      </c>
      <c r="E2181" t="s">
        <v>15</v>
      </c>
      <c r="F2181">
        <v>544</v>
      </c>
    </row>
    <row r="2182" spans="1:6">
      <c r="A2182" t="s">
        <v>2258</v>
      </c>
      <c r="B2182">
        <v>2022</v>
      </c>
      <c r="C2182" s="9">
        <v>44570</v>
      </c>
      <c r="D2182" t="s">
        <v>22</v>
      </c>
      <c r="E2182" t="s">
        <v>15</v>
      </c>
      <c r="F2182">
        <v>0</v>
      </c>
    </row>
    <row r="2183" spans="1:6">
      <c r="A2183" t="s">
        <v>2259</v>
      </c>
      <c r="B2183">
        <v>2022</v>
      </c>
      <c r="C2183" s="9">
        <v>44571</v>
      </c>
      <c r="D2183" t="s">
        <v>24</v>
      </c>
      <c r="E2183" t="s">
        <v>15</v>
      </c>
      <c r="F2183">
        <v>0</v>
      </c>
    </row>
    <row r="2184" spans="1:6">
      <c r="A2184" t="s">
        <v>2260</v>
      </c>
      <c r="B2184">
        <v>2022</v>
      </c>
      <c r="C2184" s="9">
        <v>44572</v>
      </c>
      <c r="D2184" t="s">
        <v>7</v>
      </c>
      <c r="E2184" t="s">
        <v>15</v>
      </c>
      <c r="F2184">
        <v>449</v>
      </c>
    </row>
    <row r="2185" spans="1:6">
      <c r="A2185" t="s">
        <v>2261</v>
      </c>
      <c r="B2185">
        <v>2022</v>
      </c>
      <c r="C2185" s="9">
        <v>44573</v>
      </c>
      <c r="D2185" t="s">
        <v>10</v>
      </c>
      <c r="E2185" t="s">
        <v>15</v>
      </c>
      <c r="F2185">
        <v>629.20000000000005</v>
      </c>
    </row>
    <row r="2186" spans="1:6">
      <c r="A2186" t="s">
        <v>2262</v>
      </c>
      <c r="B2186">
        <v>2022</v>
      </c>
      <c r="C2186" s="9">
        <v>44574</v>
      </c>
      <c r="D2186" t="s">
        <v>13</v>
      </c>
      <c r="E2186" t="s">
        <v>15</v>
      </c>
      <c r="F2186">
        <v>679</v>
      </c>
    </row>
    <row r="2187" spans="1:6">
      <c r="A2187" t="s">
        <v>2263</v>
      </c>
      <c r="B2187">
        <v>2022</v>
      </c>
      <c r="C2187" s="9">
        <v>44575</v>
      </c>
      <c r="D2187" t="s">
        <v>18</v>
      </c>
      <c r="E2187" t="s">
        <v>15</v>
      </c>
      <c r="F2187">
        <v>520</v>
      </c>
    </row>
    <row r="2188" spans="1:6">
      <c r="A2188" t="s">
        <v>2264</v>
      </c>
      <c r="B2188">
        <v>2022</v>
      </c>
      <c r="C2188" s="9">
        <v>44576</v>
      </c>
      <c r="D2188" t="s">
        <v>20</v>
      </c>
      <c r="E2188" t="s">
        <v>15</v>
      </c>
      <c r="F2188">
        <v>358</v>
      </c>
    </row>
    <row r="2189" spans="1:6">
      <c r="A2189" t="s">
        <v>2265</v>
      </c>
      <c r="B2189">
        <v>2022</v>
      </c>
      <c r="C2189" s="9">
        <v>44577</v>
      </c>
      <c r="D2189" t="s">
        <v>22</v>
      </c>
      <c r="E2189" t="s">
        <v>15</v>
      </c>
      <c r="F2189">
        <v>0</v>
      </c>
    </row>
    <row r="2190" spans="1:6">
      <c r="A2190" t="s">
        <v>2266</v>
      </c>
      <c r="B2190">
        <v>2022</v>
      </c>
      <c r="C2190" s="9">
        <v>44578</v>
      </c>
      <c r="D2190" t="s">
        <v>24</v>
      </c>
      <c r="E2190" t="s">
        <v>15</v>
      </c>
      <c r="F2190">
        <v>0</v>
      </c>
    </row>
    <row r="2191" spans="1:6">
      <c r="A2191" t="s">
        <v>2267</v>
      </c>
      <c r="B2191">
        <v>2022</v>
      </c>
      <c r="C2191" s="9">
        <v>44579</v>
      </c>
      <c r="D2191" t="s">
        <v>7</v>
      </c>
      <c r="E2191" t="s">
        <v>15</v>
      </c>
      <c r="F2191">
        <v>563</v>
      </c>
    </row>
    <row r="2192" spans="1:6">
      <c r="A2192" t="s">
        <v>2268</v>
      </c>
      <c r="B2192">
        <v>2022</v>
      </c>
      <c r="C2192" s="9">
        <v>44580</v>
      </c>
      <c r="D2192" t="s">
        <v>10</v>
      </c>
      <c r="E2192" t="s">
        <v>15</v>
      </c>
      <c r="F2192">
        <v>475</v>
      </c>
    </row>
    <row r="2193" spans="1:6">
      <c r="A2193" t="s">
        <v>2269</v>
      </c>
      <c r="B2193">
        <v>2022</v>
      </c>
      <c r="C2193" s="9">
        <v>44581</v>
      </c>
      <c r="D2193" t="s">
        <v>13</v>
      </c>
      <c r="E2193" t="s">
        <v>15</v>
      </c>
      <c r="F2193">
        <v>664</v>
      </c>
    </row>
    <row r="2194" spans="1:6">
      <c r="A2194" t="s">
        <v>2270</v>
      </c>
      <c r="B2194">
        <v>2022</v>
      </c>
      <c r="C2194" s="9">
        <v>44582</v>
      </c>
      <c r="D2194" t="s">
        <v>18</v>
      </c>
      <c r="E2194" t="s">
        <v>15</v>
      </c>
      <c r="F2194">
        <v>723</v>
      </c>
    </row>
    <row r="2195" spans="1:6">
      <c r="A2195" t="s">
        <v>2271</v>
      </c>
      <c r="B2195">
        <v>2022</v>
      </c>
      <c r="C2195" s="9">
        <v>44583</v>
      </c>
      <c r="D2195" t="s">
        <v>20</v>
      </c>
      <c r="E2195" t="s">
        <v>15</v>
      </c>
      <c r="F2195">
        <v>311</v>
      </c>
    </row>
    <row r="2196" spans="1:6">
      <c r="A2196" t="s">
        <v>2272</v>
      </c>
      <c r="B2196">
        <v>2022</v>
      </c>
      <c r="C2196" s="9">
        <v>44584</v>
      </c>
      <c r="D2196" t="s">
        <v>22</v>
      </c>
      <c r="E2196" t="s">
        <v>15</v>
      </c>
      <c r="F2196">
        <v>0</v>
      </c>
    </row>
    <row r="2197" spans="1:6">
      <c r="A2197" t="s">
        <v>2273</v>
      </c>
      <c r="B2197">
        <v>2022</v>
      </c>
      <c r="C2197" s="9">
        <v>44585</v>
      </c>
      <c r="D2197" t="s">
        <v>24</v>
      </c>
      <c r="E2197" t="s">
        <v>15</v>
      </c>
      <c r="F2197">
        <v>0</v>
      </c>
    </row>
    <row r="2198" spans="1:6">
      <c r="A2198" t="s">
        <v>2274</v>
      </c>
      <c r="B2198">
        <v>2022</v>
      </c>
      <c r="C2198" s="9">
        <v>44586</v>
      </c>
      <c r="D2198" t="s">
        <v>7</v>
      </c>
      <c r="E2198" t="s">
        <v>15</v>
      </c>
      <c r="F2198">
        <v>920.8</v>
      </c>
    </row>
    <row r="2199" spans="1:6">
      <c r="A2199" t="s">
        <v>2275</v>
      </c>
      <c r="B2199">
        <v>2022</v>
      </c>
      <c r="C2199" s="9">
        <v>44587</v>
      </c>
      <c r="D2199" t="s">
        <v>10</v>
      </c>
      <c r="E2199" t="s">
        <v>15</v>
      </c>
      <c r="F2199">
        <v>555</v>
      </c>
    </row>
    <row r="2200" spans="1:6">
      <c r="A2200" t="s">
        <v>2276</v>
      </c>
      <c r="B2200">
        <v>2022</v>
      </c>
      <c r="C2200" s="9">
        <v>44588</v>
      </c>
      <c r="D2200" t="s">
        <v>13</v>
      </c>
      <c r="E2200" t="s">
        <v>15</v>
      </c>
      <c r="F2200">
        <v>751.8</v>
      </c>
    </row>
    <row r="2201" spans="1:6">
      <c r="A2201" t="s">
        <v>2277</v>
      </c>
      <c r="B2201">
        <v>2022</v>
      </c>
      <c r="C2201" s="9">
        <v>44589</v>
      </c>
      <c r="D2201" t="s">
        <v>18</v>
      </c>
      <c r="E2201" t="s">
        <v>15</v>
      </c>
      <c r="F2201">
        <v>392</v>
      </c>
    </row>
    <row r="2202" spans="1:6">
      <c r="A2202" t="s">
        <v>2278</v>
      </c>
      <c r="B2202">
        <v>2022</v>
      </c>
      <c r="C2202" s="9">
        <v>44590</v>
      </c>
      <c r="D2202" t="s">
        <v>20</v>
      </c>
      <c r="E2202" t="s">
        <v>15</v>
      </c>
      <c r="F2202">
        <v>252</v>
      </c>
    </row>
    <row r="2203" spans="1:6">
      <c r="A2203" t="s">
        <v>2279</v>
      </c>
      <c r="B2203">
        <v>2022</v>
      </c>
      <c r="C2203" s="9">
        <v>44591</v>
      </c>
      <c r="D2203" t="s">
        <v>22</v>
      </c>
      <c r="E2203" t="s">
        <v>15</v>
      </c>
      <c r="F2203">
        <v>0</v>
      </c>
    </row>
    <row r="2204" spans="1:6">
      <c r="A2204" t="s">
        <v>2280</v>
      </c>
      <c r="B2204">
        <v>2022</v>
      </c>
      <c r="C2204" s="9">
        <v>44592</v>
      </c>
      <c r="D2204" t="s">
        <v>24</v>
      </c>
      <c r="E2204" t="s">
        <v>15</v>
      </c>
      <c r="F2204">
        <v>0</v>
      </c>
    </row>
    <row r="2205" spans="1:6">
      <c r="A2205" t="s">
        <v>2281</v>
      </c>
      <c r="B2205">
        <v>2022</v>
      </c>
      <c r="C2205" s="9">
        <v>44593</v>
      </c>
      <c r="D2205" t="s">
        <v>7</v>
      </c>
      <c r="E2205" t="s">
        <v>51</v>
      </c>
      <c r="F2205">
        <v>544</v>
      </c>
    </row>
    <row r="2206" spans="1:6">
      <c r="A2206" t="s">
        <v>2282</v>
      </c>
      <c r="B2206">
        <v>2022</v>
      </c>
      <c r="C2206" s="9">
        <v>44594</v>
      </c>
      <c r="D2206" t="s">
        <v>10</v>
      </c>
      <c r="E2206" t="s">
        <v>51</v>
      </c>
      <c r="F2206">
        <v>560</v>
      </c>
    </row>
    <row r="2207" spans="1:6">
      <c r="A2207" t="s">
        <v>2283</v>
      </c>
      <c r="B2207">
        <v>2022</v>
      </c>
      <c r="C2207" s="9">
        <v>44595</v>
      </c>
      <c r="D2207" t="s">
        <v>13</v>
      </c>
      <c r="E2207" t="s">
        <v>51</v>
      </c>
      <c r="F2207">
        <v>446</v>
      </c>
    </row>
    <row r="2208" spans="1:6">
      <c r="A2208" t="s">
        <v>2284</v>
      </c>
      <c r="B2208">
        <v>2022</v>
      </c>
      <c r="C2208" s="9">
        <v>44596</v>
      </c>
      <c r="D2208" t="s">
        <v>18</v>
      </c>
      <c r="E2208" t="s">
        <v>51</v>
      </c>
      <c r="F2208">
        <v>553</v>
      </c>
    </row>
    <row r="2209" spans="1:6">
      <c r="A2209" t="s">
        <v>2285</v>
      </c>
      <c r="B2209">
        <v>2022</v>
      </c>
      <c r="C2209" s="9">
        <v>44597</v>
      </c>
      <c r="D2209" t="s">
        <v>20</v>
      </c>
      <c r="E2209" t="s">
        <v>51</v>
      </c>
      <c r="F2209">
        <v>616</v>
      </c>
    </row>
    <row r="2210" spans="1:6">
      <c r="A2210" t="s">
        <v>2286</v>
      </c>
      <c r="B2210">
        <v>2022</v>
      </c>
      <c r="C2210" s="9">
        <v>44598</v>
      </c>
      <c r="D2210" t="s">
        <v>22</v>
      </c>
      <c r="E2210" t="s">
        <v>51</v>
      </c>
      <c r="F2210">
        <v>0</v>
      </c>
    </row>
    <row r="2211" spans="1:6">
      <c r="A2211" t="s">
        <v>2287</v>
      </c>
      <c r="B2211">
        <v>2022</v>
      </c>
      <c r="C2211" s="9">
        <v>44599</v>
      </c>
      <c r="D2211" t="s">
        <v>24</v>
      </c>
      <c r="E2211" t="s">
        <v>51</v>
      </c>
      <c r="F2211">
        <v>0</v>
      </c>
    </row>
    <row r="2212" spans="1:6">
      <c r="A2212" t="s">
        <v>2288</v>
      </c>
      <c r="B2212">
        <v>2022</v>
      </c>
      <c r="C2212" s="9">
        <v>44600</v>
      </c>
      <c r="D2212" t="s">
        <v>7</v>
      </c>
      <c r="E2212" t="s">
        <v>51</v>
      </c>
      <c r="F2212">
        <v>491</v>
      </c>
    </row>
    <row r="2213" spans="1:6">
      <c r="A2213" t="s">
        <v>2289</v>
      </c>
      <c r="B2213">
        <v>2022</v>
      </c>
      <c r="C2213" s="9">
        <v>44601</v>
      </c>
      <c r="D2213" t="s">
        <v>10</v>
      </c>
      <c r="E2213" t="s">
        <v>51</v>
      </c>
      <c r="F2213">
        <v>401</v>
      </c>
    </row>
    <row r="2214" spans="1:6">
      <c r="A2214" t="s">
        <v>2290</v>
      </c>
      <c r="B2214">
        <v>2022</v>
      </c>
      <c r="C2214" s="9">
        <v>44602</v>
      </c>
      <c r="D2214" t="s">
        <v>13</v>
      </c>
      <c r="E2214" t="s">
        <v>51</v>
      </c>
      <c r="F2214">
        <v>683.1</v>
      </c>
    </row>
    <row r="2215" spans="1:6">
      <c r="A2215" t="s">
        <v>2291</v>
      </c>
      <c r="B2215">
        <v>2022</v>
      </c>
      <c r="C2215" s="9">
        <v>44603</v>
      </c>
      <c r="D2215" t="s">
        <v>18</v>
      </c>
      <c r="E2215" t="s">
        <v>51</v>
      </c>
      <c r="F2215">
        <v>605</v>
      </c>
    </row>
    <row r="2216" spans="1:6">
      <c r="A2216" t="s">
        <v>2292</v>
      </c>
      <c r="B2216">
        <v>2022</v>
      </c>
      <c r="C2216" s="9">
        <v>44604</v>
      </c>
      <c r="D2216" t="s">
        <v>20</v>
      </c>
      <c r="E2216" t="s">
        <v>51</v>
      </c>
      <c r="F2216">
        <v>254</v>
      </c>
    </row>
    <row r="2217" spans="1:6">
      <c r="A2217" t="s">
        <v>2293</v>
      </c>
      <c r="B2217">
        <v>2022</v>
      </c>
      <c r="C2217" s="9">
        <v>44605</v>
      </c>
      <c r="D2217" t="s">
        <v>22</v>
      </c>
      <c r="E2217" t="s">
        <v>51</v>
      </c>
      <c r="F2217">
        <v>0</v>
      </c>
    </row>
    <row r="2218" spans="1:6">
      <c r="A2218" t="s">
        <v>2294</v>
      </c>
      <c r="B2218">
        <v>2022</v>
      </c>
      <c r="C2218" s="9">
        <v>44606</v>
      </c>
      <c r="D2218" t="s">
        <v>24</v>
      </c>
      <c r="E2218" t="s">
        <v>51</v>
      </c>
      <c r="F2218">
        <v>0</v>
      </c>
    </row>
    <row r="2219" spans="1:6">
      <c r="A2219" t="s">
        <v>2295</v>
      </c>
      <c r="B2219">
        <v>2022</v>
      </c>
      <c r="C2219" s="9">
        <v>44607</v>
      </c>
      <c r="D2219" t="s">
        <v>7</v>
      </c>
      <c r="E2219" t="s">
        <v>51</v>
      </c>
      <c r="F2219">
        <v>460</v>
      </c>
    </row>
    <row r="2220" spans="1:6">
      <c r="A2220" t="s">
        <v>2296</v>
      </c>
      <c r="B2220">
        <v>2022</v>
      </c>
      <c r="C2220" s="9">
        <v>44608</v>
      </c>
      <c r="D2220" t="s">
        <v>10</v>
      </c>
      <c r="E2220" t="s">
        <v>51</v>
      </c>
      <c r="F2220">
        <v>659</v>
      </c>
    </row>
    <row r="2221" spans="1:6">
      <c r="A2221" t="s">
        <v>2297</v>
      </c>
      <c r="B2221">
        <v>2022</v>
      </c>
      <c r="C2221" s="9">
        <v>44609</v>
      </c>
      <c r="D2221" t="s">
        <v>13</v>
      </c>
      <c r="E2221" t="s">
        <v>51</v>
      </c>
      <c r="F2221">
        <v>400</v>
      </c>
    </row>
    <row r="2222" spans="1:6">
      <c r="A2222" t="s">
        <v>2298</v>
      </c>
      <c r="B2222">
        <v>2022</v>
      </c>
      <c r="C2222" s="9">
        <v>44610</v>
      </c>
      <c r="D2222" t="s">
        <v>18</v>
      </c>
      <c r="E2222" t="s">
        <v>51</v>
      </c>
      <c r="F2222">
        <v>639</v>
      </c>
    </row>
    <row r="2223" spans="1:6">
      <c r="A2223" t="s">
        <v>2299</v>
      </c>
      <c r="B2223">
        <v>2022</v>
      </c>
      <c r="C2223" s="9">
        <v>44611</v>
      </c>
      <c r="D2223" t="s">
        <v>20</v>
      </c>
      <c r="E2223" t="s">
        <v>51</v>
      </c>
      <c r="F2223">
        <v>400.8</v>
      </c>
    </row>
    <row r="2224" spans="1:6">
      <c r="A2224" t="s">
        <v>2300</v>
      </c>
      <c r="B2224">
        <v>2022</v>
      </c>
      <c r="C2224" s="9">
        <v>44612</v>
      </c>
      <c r="D2224" t="s">
        <v>22</v>
      </c>
      <c r="E2224" t="s">
        <v>51</v>
      </c>
      <c r="F2224">
        <v>0</v>
      </c>
    </row>
    <row r="2225" spans="1:6">
      <c r="A2225" t="s">
        <v>2301</v>
      </c>
      <c r="B2225">
        <v>2022</v>
      </c>
      <c r="C2225" s="9">
        <v>44613</v>
      </c>
      <c r="D2225" t="s">
        <v>24</v>
      </c>
      <c r="E2225" t="s">
        <v>51</v>
      </c>
      <c r="F2225">
        <v>0</v>
      </c>
    </row>
    <row r="2226" spans="1:6">
      <c r="A2226" t="s">
        <v>2302</v>
      </c>
      <c r="B2226">
        <v>2022</v>
      </c>
      <c r="C2226" s="9">
        <v>44614</v>
      </c>
      <c r="D2226" t="s">
        <v>7</v>
      </c>
      <c r="E2226" t="s">
        <v>51</v>
      </c>
      <c r="F2226">
        <v>411</v>
      </c>
    </row>
    <row r="2227" spans="1:6">
      <c r="A2227" t="s">
        <v>2303</v>
      </c>
      <c r="B2227">
        <v>2022</v>
      </c>
      <c r="C2227" s="9">
        <v>44615</v>
      </c>
      <c r="D2227" t="s">
        <v>10</v>
      </c>
      <c r="E2227" t="s">
        <v>51</v>
      </c>
      <c r="F2227">
        <v>723</v>
      </c>
    </row>
    <row r="2228" spans="1:6">
      <c r="A2228" t="s">
        <v>2304</v>
      </c>
      <c r="B2228">
        <v>2022</v>
      </c>
      <c r="C2228" s="9">
        <v>44616</v>
      </c>
      <c r="D2228" t="s">
        <v>13</v>
      </c>
      <c r="E2228" t="s">
        <v>51</v>
      </c>
      <c r="F2228">
        <v>805</v>
      </c>
    </row>
    <row r="2229" spans="1:6">
      <c r="A2229" t="s">
        <v>2305</v>
      </c>
      <c r="B2229">
        <v>2022</v>
      </c>
      <c r="C2229" s="9">
        <v>44617</v>
      </c>
      <c r="D2229" t="s">
        <v>18</v>
      </c>
      <c r="E2229" t="s">
        <v>51</v>
      </c>
      <c r="F2229">
        <v>943</v>
      </c>
    </row>
    <row r="2230" spans="1:6">
      <c r="A2230" t="s">
        <v>2306</v>
      </c>
      <c r="B2230">
        <v>2022</v>
      </c>
      <c r="C2230" s="9">
        <v>44618</v>
      </c>
      <c r="D2230" t="s">
        <v>20</v>
      </c>
      <c r="E2230" t="s">
        <v>51</v>
      </c>
      <c r="F2230">
        <v>1059.8</v>
      </c>
    </row>
    <row r="2231" spans="1:6">
      <c r="A2231" t="s">
        <v>2307</v>
      </c>
      <c r="B2231">
        <v>2022</v>
      </c>
      <c r="C2231" s="9">
        <v>44619</v>
      </c>
      <c r="D2231" t="s">
        <v>22</v>
      </c>
      <c r="E2231" t="s">
        <v>51</v>
      </c>
      <c r="F2231">
        <v>0</v>
      </c>
    </row>
    <row r="2232" spans="1:6">
      <c r="A2232" t="s">
        <v>2308</v>
      </c>
      <c r="B2232">
        <v>2022</v>
      </c>
      <c r="C2232" s="9">
        <v>44620</v>
      </c>
      <c r="D2232" t="s">
        <v>24</v>
      </c>
      <c r="E2232" t="s">
        <v>51</v>
      </c>
      <c r="F2232">
        <v>0</v>
      </c>
    </row>
    <row r="2233" spans="1:6">
      <c r="A2233" t="s">
        <v>2309</v>
      </c>
      <c r="B2233">
        <v>2022</v>
      </c>
      <c r="C2233" s="9">
        <v>44621</v>
      </c>
      <c r="D2233" t="s">
        <v>7</v>
      </c>
      <c r="E2233" t="s">
        <v>80</v>
      </c>
      <c r="F2233">
        <v>170</v>
      </c>
    </row>
    <row r="2234" spans="1:6">
      <c r="A2234" t="s">
        <v>2310</v>
      </c>
      <c r="B2234">
        <v>2022</v>
      </c>
      <c r="C2234" s="9">
        <v>44622</v>
      </c>
      <c r="D2234" t="s">
        <v>10</v>
      </c>
      <c r="E2234" t="s">
        <v>80</v>
      </c>
      <c r="F2234">
        <v>709</v>
      </c>
    </row>
    <row r="2235" spans="1:6">
      <c r="A2235" t="s">
        <v>2311</v>
      </c>
      <c r="B2235">
        <v>2022</v>
      </c>
      <c r="C2235" s="9">
        <v>44623</v>
      </c>
      <c r="D2235" t="s">
        <v>13</v>
      </c>
      <c r="E2235" t="s">
        <v>80</v>
      </c>
      <c r="F2235">
        <v>805.8</v>
      </c>
    </row>
    <row r="2236" spans="1:6">
      <c r="A2236" t="s">
        <v>2312</v>
      </c>
      <c r="B2236">
        <v>2022</v>
      </c>
      <c r="C2236" s="9">
        <v>44624</v>
      </c>
      <c r="D2236" t="s">
        <v>18</v>
      </c>
      <c r="E2236" t="s">
        <v>80</v>
      </c>
      <c r="F2236">
        <v>788.2</v>
      </c>
    </row>
    <row r="2237" spans="1:6">
      <c r="A2237" t="s">
        <v>2313</v>
      </c>
      <c r="B2237">
        <v>2022</v>
      </c>
      <c r="C2237" s="9">
        <v>44625</v>
      </c>
      <c r="D2237" t="s">
        <v>20</v>
      </c>
      <c r="E2237" t="s">
        <v>80</v>
      </c>
      <c r="F2237">
        <v>784</v>
      </c>
    </row>
    <row r="2238" spans="1:6">
      <c r="A2238" t="s">
        <v>2314</v>
      </c>
      <c r="B2238">
        <v>2022</v>
      </c>
      <c r="C2238" s="9">
        <v>44626</v>
      </c>
      <c r="D2238" t="s">
        <v>22</v>
      </c>
      <c r="E2238" t="s">
        <v>80</v>
      </c>
      <c r="F2238">
        <v>0</v>
      </c>
    </row>
    <row r="2239" spans="1:6">
      <c r="A2239" t="s">
        <v>2315</v>
      </c>
      <c r="B2239">
        <v>2022</v>
      </c>
      <c r="C2239" s="9">
        <v>44627</v>
      </c>
      <c r="D2239" t="s">
        <v>24</v>
      </c>
      <c r="E2239" t="s">
        <v>80</v>
      </c>
      <c r="F2239">
        <v>245</v>
      </c>
    </row>
    <row r="2240" spans="1:6">
      <c r="A2240" t="s">
        <v>2316</v>
      </c>
      <c r="B2240">
        <v>2022</v>
      </c>
      <c r="C2240" s="9">
        <v>44628</v>
      </c>
      <c r="D2240" t="s">
        <v>7</v>
      </c>
      <c r="E2240" t="s">
        <v>80</v>
      </c>
      <c r="F2240">
        <v>812</v>
      </c>
    </row>
    <row r="2241" spans="1:6">
      <c r="A2241" t="s">
        <v>2317</v>
      </c>
      <c r="B2241">
        <v>2022</v>
      </c>
      <c r="C2241" s="9">
        <v>44629</v>
      </c>
      <c r="D2241" t="s">
        <v>10</v>
      </c>
      <c r="E2241" t="s">
        <v>80</v>
      </c>
      <c r="F2241">
        <v>96.8</v>
      </c>
    </row>
    <row r="2242" spans="1:6">
      <c r="A2242" t="s">
        <v>2318</v>
      </c>
      <c r="B2242">
        <v>2022</v>
      </c>
      <c r="C2242" s="9">
        <v>44630</v>
      </c>
      <c r="D2242" t="s">
        <v>13</v>
      </c>
      <c r="E2242" t="s">
        <v>80</v>
      </c>
      <c r="F2242">
        <v>495</v>
      </c>
    </row>
    <row r="2243" spans="1:6">
      <c r="A2243" t="s">
        <v>2319</v>
      </c>
      <c r="B2243">
        <v>2022</v>
      </c>
      <c r="C2243" s="9">
        <v>44631</v>
      </c>
      <c r="D2243" t="s">
        <v>18</v>
      </c>
      <c r="E2243" t="s">
        <v>80</v>
      </c>
      <c r="F2243">
        <v>512</v>
      </c>
    </row>
    <row r="2244" spans="1:6">
      <c r="A2244" t="s">
        <v>2320</v>
      </c>
      <c r="B2244">
        <v>2022</v>
      </c>
      <c r="C2244" s="9">
        <v>44632</v>
      </c>
      <c r="D2244" t="s">
        <v>20</v>
      </c>
      <c r="E2244" t="s">
        <v>80</v>
      </c>
      <c r="F2244">
        <v>507</v>
      </c>
    </row>
    <row r="2245" spans="1:6">
      <c r="A2245" t="s">
        <v>2321</v>
      </c>
      <c r="B2245">
        <v>2022</v>
      </c>
      <c r="C2245" s="9">
        <v>44633</v>
      </c>
      <c r="D2245" t="s">
        <v>22</v>
      </c>
      <c r="E2245" t="s">
        <v>80</v>
      </c>
      <c r="F2245">
        <v>0</v>
      </c>
    </row>
    <row r="2246" spans="1:6">
      <c r="A2246" t="s">
        <v>2322</v>
      </c>
      <c r="B2246">
        <v>2022</v>
      </c>
      <c r="C2246" s="9">
        <v>44634</v>
      </c>
      <c r="D2246" t="s">
        <v>24</v>
      </c>
      <c r="E2246" t="s">
        <v>80</v>
      </c>
      <c r="F2246">
        <v>0</v>
      </c>
    </row>
    <row r="2247" spans="1:6">
      <c r="A2247" t="s">
        <v>2323</v>
      </c>
      <c r="B2247">
        <v>2022</v>
      </c>
      <c r="C2247" s="9">
        <v>44635</v>
      </c>
      <c r="D2247" t="s">
        <v>7</v>
      </c>
      <c r="E2247" t="s">
        <v>80</v>
      </c>
      <c r="F2247">
        <v>711</v>
      </c>
    </row>
    <row r="2248" spans="1:6">
      <c r="A2248" t="s">
        <v>2324</v>
      </c>
      <c r="B2248">
        <v>2022</v>
      </c>
      <c r="C2248" s="9">
        <v>44636</v>
      </c>
      <c r="D2248" t="s">
        <v>10</v>
      </c>
      <c r="E2248" t="s">
        <v>80</v>
      </c>
      <c r="F2248">
        <v>902</v>
      </c>
    </row>
    <row r="2249" spans="1:6">
      <c r="A2249" t="s">
        <v>2325</v>
      </c>
      <c r="B2249">
        <v>2022</v>
      </c>
      <c r="C2249" s="9">
        <v>44637</v>
      </c>
      <c r="D2249" t="s">
        <v>13</v>
      </c>
      <c r="E2249" t="s">
        <v>80</v>
      </c>
      <c r="F2249">
        <v>438</v>
      </c>
    </row>
    <row r="2250" spans="1:6">
      <c r="A2250" t="s">
        <v>2326</v>
      </c>
      <c r="B2250">
        <v>2022</v>
      </c>
      <c r="C2250" s="9">
        <v>44638</v>
      </c>
      <c r="D2250" t="s">
        <v>18</v>
      </c>
      <c r="E2250" t="s">
        <v>80</v>
      </c>
      <c r="F2250">
        <v>490.8</v>
      </c>
    </row>
    <row r="2251" spans="1:6">
      <c r="A2251" t="s">
        <v>2327</v>
      </c>
      <c r="B2251">
        <v>2022</v>
      </c>
      <c r="C2251" s="9">
        <v>44639</v>
      </c>
      <c r="D2251" t="s">
        <v>20</v>
      </c>
      <c r="E2251" t="s">
        <v>80</v>
      </c>
      <c r="F2251">
        <v>391</v>
      </c>
    </row>
    <row r="2252" spans="1:6">
      <c r="A2252" t="s">
        <v>2328</v>
      </c>
      <c r="B2252">
        <v>2022</v>
      </c>
      <c r="C2252" s="9">
        <v>44640</v>
      </c>
      <c r="D2252" t="s">
        <v>22</v>
      </c>
      <c r="E2252" t="s">
        <v>80</v>
      </c>
      <c r="F2252">
        <v>0</v>
      </c>
    </row>
    <row r="2253" spans="1:6">
      <c r="A2253" t="s">
        <v>2329</v>
      </c>
      <c r="B2253">
        <v>2022</v>
      </c>
      <c r="C2253" s="9">
        <v>44641</v>
      </c>
      <c r="D2253" t="s">
        <v>24</v>
      </c>
      <c r="E2253" t="s">
        <v>80</v>
      </c>
      <c r="F2253">
        <v>0</v>
      </c>
    </row>
    <row r="2254" spans="1:6">
      <c r="A2254" t="s">
        <v>2330</v>
      </c>
      <c r="B2254">
        <v>2022</v>
      </c>
      <c r="C2254" s="9">
        <v>44642</v>
      </c>
      <c r="D2254" t="s">
        <v>7</v>
      </c>
      <c r="E2254" t="s">
        <v>80</v>
      </c>
      <c r="F2254">
        <v>431</v>
      </c>
    </row>
    <row r="2255" spans="1:6">
      <c r="A2255" t="s">
        <v>2331</v>
      </c>
      <c r="B2255">
        <v>2022</v>
      </c>
      <c r="C2255" s="9">
        <v>44643</v>
      </c>
      <c r="D2255" t="s">
        <v>10</v>
      </c>
      <c r="E2255" t="s">
        <v>80</v>
      </c>
      <c r="F2255">
        <v>738</v>
      </c>
    </row>
    <row r="2256" spans="1:6">
      <c r="A2256" t="s">
        <v>2332</v>
      </c>
      <c r="B2256">
        <v>2022</v>
      </c>
      <c r="C2256" s="9">
        <v>44644</v>
      </c>
      <c r="D2256" t="s">
        <v>13</v>
      </c>
      <c r="E2256" t="s">
        <v>80</v>
      </c>
      <c r="F2256">
        <v>1203.8</v>
      </c>
    </row>
    <row r="2257" spans="1:6">
      <c r="A2257" t="s">
        <v>2333</v>
      </c>
      <c r="B2257">
        <v>2022</v>
      </c>
      <c r="C2257" s="9">
        <v>44645</v>
      </c>
      <c r="D2257" t="s">
        <v>18</v>
      </c>
      <c r="E2257" t="s">
        <v>80</v>
      </c>
      <c r="F2257">
        <v>695</v>
      </c>
    </row>
    <row r="2258" spans="1:6">
      <c r="A2258" t="s">
        <v>2334</v>
      </c>
      <c r="B2258">
        <v>2022</v>
      </c>
      <c r="C2258" s="9">
        <v>44646</v>
      </c>
      <c r="D2258" t="s">
        <v>20</v>
      </c>
      <c r="E2258" t="s">
        <v>80</v>
      </c>
      <c r="F2258">
        <v>708.6</v>
      </c>
    </row>
    <row r="2259" spans="1:6">
      <c r="A2259" t="s">
        <v>2335</v>
      </c>
      <c r="B2259">
        <v>2022</v>
      </c>
      <c r="C2259" s="9">
        <v>44647</v>
      </c>
      <c r="D2259" t="s">
        <v>22</v>
      </c>
      <c r="E2259" t="s">
        <v>80</v>
      </c>
      <c r="F2259">
        <v>0</v>
      </c>
    </row>
    <row r="2260" spans="1:6">
      <c r="A2260" t="s">
        <v>2336</v>
      </c>
      <c r="B2260">
        <v>2022</v>
      </c>
      <c r="C2260" s="9">
        <v>44648</v>
      </c>
      <c r="D2260" t="s">
        <v>24</v>
      </c>
      <c r="E2260" t="s">
        <v>80</v>
      </c>
      <c r="F2260">
        <v>136.6</v>
      </c>
    </row>
    <row r="2261" spans="1:6">
      <c r="A2261" t="s">
        <v>2337</v>
      </c>
      <c r="B2261">
        <v>2022</v>
      </c>
      <c r="C2261" s="9">
        <v>44649</v>
      </c>
      <c r="D2261" t="s">
        <v>7</v>
      </c>
      <c r="E2261" t="s">
        <v>80</v>
      </c>
      <c r="F2261">
        <v>558</v>
      </c>
    </row>
    <row r="2262" spans="1:6">
      <c r="A2262" t="s">
        <v>2338</v>
      </c>
      <c r="B2262">
        <v>2022</v>
      </c>
      <c r="C2262" s="9">
        <v>44650</v>
      </c>
      <c r="D2262" t="s">
        <v>10</v>
      </c>
      <c r="E2262" t="s">
        <v>80</v>
      </c>
      <c r="F2262">
        <v>583</v>
      </c>
    </row>
    <row r="2263" spans="1:6">
      <c r="A2263" t="s">
        <v>2339</v>
      </c>
      <c r="B2263">
        <v>2022</v>
      </c>
      <c r="C2263" s="9">
        <v>44651</v>
      </c>
      <c r="D2263" t="s">
        <v>13</v>
      </c>
      <c r="E2263" t="s">
        <v>80</v>
      </c>
      <c r="F2263">
        <v>766.4</v>
      </c>
    </row>
    <row r="2264" spans="1:6">
      <c r="A2264" t="s">
        <v>2340</v>
      </c>
      <c r="B2264">
        <v>2022</v>
      </c>
      <c r="C2264" s="9">
        <v>44652</v>
      </c>
      <c r="D2264" t="s">
        <v>18</v>
      </c>
      <c r="E2264" t="s">
        <v>112</v>
      </c>
      <c r="F2264">
        <v>309.8</v>
      </c>
    </row>
    <row r="2265" spans="1:6">
      <c r="A2265" t="s">
        <v>2341</v>
      </c>
      <c r="B2265">
        <v>2022</v>
      </c>
      <c r="C2265" s="9">
        <v>44653</v>
      </c>
      <c r="D2265" t="s">
        <v>20</v>
      </c>
      <c r="E2265" t="s">
        <v>112</v>
      </c>
      <c r="F2265">
        <v>531</v>
      </c>
    </row>
    <row r="2266" spans="1:6">
      <c r="A2266" t="s">
        <v>2342</v>
      </c>
      <c r="B2266">
        <v>2022</v>
      </c>
      <c r="C2266" s="9">
        <v>44654</v>
      </c>
      <c r="D2266" t="s">
        <v>22</v>
      </c>
      <c r="E2266" t="s">
        <v>112</v>
      </c>
      <c r="F2266">
        <v>0</v>
      </c>
    </row>
    <row r="2267" spans="1:6">
      <c r="A2267" t="s">
        <v>2343</v>
      </c>
      <c r="B2267">
        <v>2022</v>
      </c>
      <c r="C2267" s="9">
        <v>44655</v>
      </c>
      <c r="D2267" t="s">
        <v>24</v>
      </c>
      <c r="E2267" t="s">
        <v>112</v>
      </c>
      <c r="F2267">
        <v>0</v>
      </c>
    </row>
    <row r="2268" spans="1:6">
      <c r="A2268" t="s">
        <v>2344</v>
      </c>
      <c r="B2268">
        <v>2022</v>
      </c>
      <c r="C2268" s="9">
        <v>44656</v>
      </c>
      <c r="D2268" t="s">
        <v>7</v>
      </c>
      <c r="E2268" t="s">
        <v>112</v>
      </c>
      <c r="F2268">
        <v>185</v>
      </c>
    </row>
    <row r="2269" spans="1:6">
      <c r="A2269" t="s">
        <v>2345</v>
      </c>
      <c r="B2269">
        <v>2022</v>
      </c>
      <c r="C2269" s="9">
        <v>44657</v>
      </c>
      <c r="D2269" t="s">
        <v>10</v>
      </c>
      <c r="E2269" t="s">
        <v>112</v>
      </c>
      <c r="F2269">
        <v>1026</v>
      </c>
    </row>
    <row r="2270" spans="1:6">
      <c r="A2270" t="s">
        <v>2346</v>
      </c>
      <c r="B2270">
        <v>2022</v>
      </c>
      <c r="C2270" s="9">
        <v>44658</v>
      </c>
      <c r="D2270" t="s">
        <v>13</v>
      </c>
      <c r="E2270" t="s">
        <v>112</v>
      </c>
      <c r="F2270">
        <v>689.8</v>
      </c>
    </row>
    <row r="2271" spans="1:6">
      <c r="A2271" t="s">
        <v>2347</v>
      </c>
      <c r="B2271">
        <v>2022</v>
      </c>
      <c r="C2271" s="9">
        <v>44659</v>
      </c>
      <c r="D2271" t="s">
        <v>18</v>
      </c>
      <c r="E2271" t="s">
        <v>112</v>
      </c>
      <c r="F2271">
        <v>773</v>
      </c>
    </row>
    <row r="2272" spans="1:6">
      <c r="A2272" t="s">
        <v>2348</v>
      </c>
      <c r="B2272">
        <v>2022</v>
      </c>
      <c r="C2272" s="9">
        <v>44660</v>
      </c>
      <c r="D2272" t="s">
        <v>20</v>
      </c>
      <c r="E2272" t="s">
        <v>112</v>
      </c>
      <c r="F2272">
        <v>545</v>
      </c>
    </row>
    <row r="2273" spans="1:6">
      <c r="A2273" t="s">
        <v>2349</v>
      </c>
      <c r="B2273">
        <v>2022</v>
      </c>
      <c r="C2273" s="9">
        <v>44661</v>
      </c>
      <c r="D2273" t="s">
        <v>22</v>
      </c>
      <c r="E2273" t="s">
        <v>112</v>
      </c>
      <c r="F2273">
        <v>0</v>
      </c>
    </row>
    <row r="2274" spans="1:6">
      <c r="A2274" t="s">
        <v>2350</v>
      </c>
      <c r="B2274">
        <v>2022</v>
      </c>
      <c r="C2274" s="9">
        <v>44662</v>
      </c>
      <c r="D2274" t="s">
        <v>24</v>
      </c>
      <c r="E2274" t="s">
        <v>112</v>
      </c>
      <c r="F2274">
        <v>0</v>
      </c>
    </row>
    <row r="2275" spans="1:6">
      <c r="A2275" t="s">
        <v>2351</v>
      </c>
      <c r="B2275">
        <v>2022</v>
      </c>
      <c r="C2275" s="9">
        <v>44663</v>
      </c>
      <c r="D2275" t="s">
        <v>7</v>
      </c>
      <c r="E2275" t="s">
        <v>112</v>
      </c>
      <c r="F2275">
        <v>439</v>
      </c>
    </row>
    <row r="2276" spans="1:6">
      <c r="A2276" t="s">
        <v>2352</v>
      </c>
      <c r="B2276">
        <v>2022</v>
      </c>
      <c r="C2276" s="9">
        <v>44664</v>
      </c>
      <c r="D2276" t="s">
        <v>10</v>
      </c>
      <c r="E2276" t="s">
        <v>112</v>
      </c>
      <c r="F2276">
        <v>726.8</v>
      </c>
    </row>
    <row r="2277" spans="1:6">
      <c r="A2277" t="s">
        <v>2353</v>
      </c>
      <c r="B2277">
        <v>2022</v>
      </c>
      <c r="C2277" s="9">
        <v>44665</v>
      </c>
      <c r="D2277" t="s">
        <v>13</v>
      </c>
      <c r="E2277" t="s">
        <v>112</v>
      </c>
      <c r="F2277">
        <v>648.20000000000005</v>
      </c>
    </row>
    <row r="2278" spans="1:6">
      <c r="A2278" t="s">
        <v>2354</v>
      </c>
      <c r="B2278">
        <v>2022</v>
      </c>
      <c r="C2278" s="9">
        <v>44666</v>
      </c>
      <c r="D2278" t="s">
        <v>18</v>
      </c>
      <c r="E2278" t="s">
        <v>112</v>
      </c>
      <c r="F2278">
        <v>923.8</v>
      </c>
    </row>
    <row r="2279" spans="1:6">
      <c r="A2279" t="s">
        <v>2355</v>
      </c>
      <c r="B2279">
        <v>2022</v>
      </c>
      <c r="C2279" s="9">
        <v>44667</v>
      </c>
      <c r="D2279" t="s">
        <v>20</v>
      </c>
      <c r="E2279" t="s">
        <v>112</v>
      </c>
      <c r="F2279">
        <v>366</v>
      </c>
    </row>
    <row r="2280" spans="1:6">
      <c r="A2280" t="s">
        <v>2356</v>
      </c>
      <c r="B2280">
        <v>2022</v>
      </c>
      <c r="C2280" s="9">
        <v>44668</v>
      </c>
      <c r="D2280" t="s">
        <v>22</v>
      </c>
      <c r="E2280" t="s">
        <v>112</v>
      </c>
      <c r="F2280">
        <v>0</v>
      </c>
    </row>
    <row r="2281" spans="1:6">
      <c r="A2281" t="s">
        <v>2357</v>
      </c>
      <c r="B2281">
        <v>2022</v>
      </c>
      <c r="C2281" s="9">
        <v>44669</v>
      </c>
      <c r="D2281" t="s">
        <v>24</v>
      </c>
      <c r="E2281" t="s">
        <v>112</v>
      </c>
      <c r="F2281">
        <v>0</v>
      </c>
    </row>
    <row r="2282" spans="1:6">
      <c r="A2282" t="s">
        <v>2358</v>
      </c>
      <c r="B2282">
        <v>2022</v>
      </c>
      <c r="C2282" s="9">
        <v>44670</v>
      </c>
      <c r="D2282" t="s">
        <v>7</v>
      </c>
      <c r="E2282" t="s">
        <v>112</v>
      </c>
      <c r="F2282">
        <v>554</v>
      </c>
    </row>
    <row r="2283" spans="1:6">
      <c r="A2283" t="s">
        <v>2359</v>
      </c>
      <c r="B2283">
        <v>2022</v>
      </c>
      <c r="C2283" s="9">
        <v>44671</v>
      </c>
      <c r="D2283" t="s">
        <v>10</v>
      </c>
      <c r="E2283" t="s">
        <v>112</v>
      </c>
      <c r="F2283">
        <v>438.2</v>
      </c>
    </row>
    <row r="2284" spans="1:6">
      <c r="A2284" t="s">
        <v>2360</v>
      </c>
      <c r="B2284">
        <v>2022</v>
      </c>
      <c r="C2284" s="9">
        <v>44672</v>
      </c>
      <c r="D2284" t="s">
        <v>13</v>
      </c>
      <c r="E2284" t="s">
        <v>112</v>
      </c>
      <c r="F2284">
        <v>690</v>
      </c>
    </row>
    <row r="2285" spans="1:6">
      <c r="A2285" t="s">
        <v>2361</v>
      </c>
      <c r="B2285">
        <v>2022</v>
      </c>
      <c r="C2285" s="9">
        <v>44673</v>
      </c>
      <c r="D2285" t="s">
        <v>18</v>
      </c>
      <c r="E2285" t="s">
        <v>112</v>
      </c>
      <c r="F2285">
        <v>551.6</v>
      </c>
    </row>
    <row r="2286" spans="1:6">
      <c r="A2286" t="s">
        <v>2362</v>
      </c>
      <c r="B2286">
        <v>2022</v>
      </c>
      <c r="C2286" s="9">
        <v>44674</v>
      </c>
      <c r="D2286" t="s">
        <v>20</v>
      </c>
      <c r="E2286" t="s">
        <v>112</v>
      </c>
      <c r="F2286">
        <v>830.8</v>
      </c>
    </row>
    <row r="2287" spans="1:6">
      <c r="A2287" t="s">
        <v>2363</v>
      </c>
      <c r="B2287">
        <v>2022</v>
      </c>
      <c r="C2287" s="9">
        <v>44675</v>
      </c>
      <c r="D2287" t="s">
        <v>22</v>
      </c>
      <c r="E2287" t="s">
        <v>112</v>
      </c>
      <c r="F2287">
        <v>0</v>
      </c>
    </row>
    <row r="2288" spans="1:6">
      <c r="A2288" t="s">
        <v>2364</v>
      </c>
      <c r="B2288">
        <v>2022</v>
      </c>
      <c r="C2288" s="9">
        <v>44676</v>
      </c>
      <c r="D2288" t="s">
        <v>24</v>
      </c>
      <c r="E2288" t="s">
        <v>112</v>
      </c>
      <c r="F2288">
        <v>0</v>
      </c>
    </row>
    <row r="2289" spans="1:6">
      <c r="A2289" t="s">
        <v>2365</v>
      </c>
      <c r="B2289">
        <v>2022</v>
      </c>
      <c r="C2289" s="9">
        <v>44677</v>
      </c>
      <c r="D2289" t="s">
        <v>7</v>
      </c>
      <c r="E2289" t="s">
        <v>112</v>
      </c>
      <c r="F2289">
        <v>627</v>
      </c>
    </row>
    <row r="2290" spans="1:6">
      <c r="A2290" t="s">
        <v>2366</v>
      </c>
      <c r="B2290">
        <v>2022</v>
      </c>
      <c r="C2290" s="9">
        <v>44678</v>
      </c>
      <c r="D2290" t="s">
        <v>10</v>
      </c>
      <c r="E2290" t="s">
        <v>112</v>
      </c>
      <c r="F2290">
        <v>906.5</v>
      </c>
    </row>
    <row r="2291" spans="1:6">
      <c r="A2291" t="s">
        <v>2367</v>
      </c>
      <c r="B2291">
        <v>2022</v>
      </c>
      <c r="C2291" s="9">
        <v>44679</v>
      </c>
      <c r="D2291" t="s">
        <v>13</v>
      </c>
      <c r="E2291" t="s">
        <v>112</v>
      </c>
      <c r="F2291">
        <v>724</v>
      </c>
    </row>
    <row r="2292" spans="1:6">
      <c r="A2292" t="s">
        <v>2368</v>
      </c>
      <c r="B2292">
        <v>2022</v>
      </c>
      <c r="C2292" s="9">
        <v>44680</v>
      </c>
      <c r="D2292" t="s">
        <v>18</v>
      </c>
      <c r="E2292" t="s">
        <v>112</v>
      </c>
      <c r="F2292">
        <v>739</v>
      </c>
    </row>
    <row r="2293" spans="1:6">
      <c r="A2293" t="s">
        <v>2369</v>
      </c>
      <c r="B2293">
        <v>2022</v>
      </c>
      <c r="C2293" s="9">
        <v>44681</v>
      </c>
      <c r="D2293" t="s">
        <v>20</v>
      </c>
      <c r="E2293" t="s">
        <v>112</v>
      </c>
      <c r="F2293">
        <v>1109.8</v>
      </c>
    </row>
    <row r="2294" spans="1:6">
      <c r="A2294" t="s">
        <v>2370</v>
      </c>
      <c r="B2294">
        <v>2022</v>
      </c>
      <c r="C2294" s="9">
        <v>44682</v>
      </c>
      <c r="D2294" t="s">
        <v>22</v>
      </c>
      <c r="E2294" t="s">
        <v>143</v>
      </c>
      <c r="F2294">
        <v>0</v>
      </c>
    </row>
    <row r="2295" spans="1:6">
      <c r="A2295" t="s">
        <v>2371</v>
      </c>
      <c r="B2295">
        <v>2022</v>
      </c>
      <c r="C2295" s="9">
        <v>44683</v>
      </c>
      <c r="D2295" t="s">
        <v>24</v>
      </c>
      <c r="E2295" t="s">
        <v>143</v>
      </c>
      <c r="F2295">
        <v>0</v>
      </c>
    </row>
    <row r="2296" spans="1:6">
      <c r="A2296" t="s">
        <v>2372</v>
      </c>
      <c r="B2296">
        <v>2022</v>
      </c>
      <c r="C2296" s="9">
        <v>44684</v>
      </c>
      <c r="D2296" t="s">
        <v>7</v>
      </c>
      <c r="E2296" t="s">
        <v>143</v>
      </c>
      <c r="F2296">
        <v>779.2</v>
      </c>
    </row>
    <row r="2297" spans="1:6">
      <c r="A2297" t="s">
        <v>2373</v>
      </c>
      <c r="B2297">
        <v>2022</v>
      </c>
      <c r="C2297" s="9">
        <v>44685</v>
      </c>
      <c r="D2297" t="s">
        <v>10</v>
      </c>
      <c r="E2297" t="s">
        <v>143</v>
      </c>
      <c r="F2297">
        <v>640</v>
      </c>
    </row>
    <row r="2298" spans="1:6">
      <c r="A2298" t="s">
        <v>2374</v>
      </c>
      <c r="B2298">
        <v>2022</v>
      </c>
      <c r="C2298" s="9">
        <v>44686</v>
      </c>
      <c r="D2298" t="s">
        <v>13</v>
      </c>
      <c r="E2298" t="s">
        <v>143</v>
      </c>
      <c r="F2298">
        <v>977.5</v>
      </c>
    </row>
    <row r="2299" spans="1:6">
      <c r="A2299" t="s">
        <v>2375</v>
      </c>
      <c r="B2299">
        <v>2022</v>
      </c>
      <c r="C2299" s="9">
        <v>44687</v>
      </c>
      <c r="D2299" t="s">
        <v>18</v>
      </c>
      <c r="E2299" t="s">
        <v>143</v>
      </c>
      <c r="F2299">
        <v>757.6</v>
      </c>
    </row>
    <row r="2300" spans="1:6">
      <c r="A2300" t="s">
        <v>2376</v>
      </c>
      <c r="B2300">
        <v>2022</v>
      </c>
      <c r="C2300" s="9">
        <v>44688</v>
      </c>
      <c r="D2300" t="s">
        <v>20</v>
      </c>
      <c r="E2300" t="s">
        <v>143</v>
      </c>
      <c r="F2300">
        <v>485</v>
      </c>
    </row>
    <row r="2301" spans="1:6">
      <c r="A2301" t="s">
        <v>2377</v>
      </c>
      <c r="B2301">
        <v>2022</v>
      </c>
      <c r="C2301" s="9">
        <v>44689</v>
      </c>
      <c r="D2301" t="s">
        <v>22</v>
      </c>
      <c r="E2301" t="s">
        <v>143</v>
      </c>
      <c r="F2301">
        <v>0</v>
      </c>
    </row>
    <row r="2302" spans="1:6">
      <c r="A2302" t="s">
        <v>2378</v>
      </c>
      <c r="B2302">
        <v>2022</v>
      </c>
      <c r="C2302" s="9">
        <v>44690</v>
      </c>
      <c r="D2302" t="s">
        <v>24</v>
      </c>
      <c r="E2302" t="s">
        <v>143</v>
      </c>
      <c r="F2302">
        <v>0</v>
      </c>
    </row>
    <row r="2303" spans="1:6">
      <c r="A2303" t="s">
        <v>2379</v>
      </c>
      <c r="B2303">
        <v>2022</v>
      </c>
      <c r="C2303" s="9">
        <v>44691</v>
      </c>
      <c r="D2303" t="s">
        <v>7</v>
      </c>
      <c r="E2303" t="s">
        <v>143</v>
      </c>
      <c r="F2303">
        <v>332</v>
      </c>
    </row>
    <row r="2304" spans="1:6">
      <c r="A2304" t="s">
        <v>2380</v>
      </c>
      <c r="B2304">
        <v>2022</v>
      </c>
      <c r="C2304" s="9">
        <v>44692</v>
      </c>
      <c r="D2304" t="s">
        <v>10</v>
      </c>
      <c r="E2304" t="s">
        <v>143</v>
      </c>
      <c r="F2304">
        <v>555</v>
      </c>
    </row>
    <row r="2305" spans="1:6">
      <c r="A2305" t="s">
        <v>2381</v>
      </c>
      <c r="B2305">
        <v>2022</v>
      </c>
      <c r="C2305" s="9">
        <v>44693</v>
      </c>
      <c r="D2305" t="s">
        <v>13</v>
      </c>
      <c r="E2305" t="s">
        <v>143</v>
      </c>
      <c r="F2305">
        <v>671</v>
      </c>
    </row>
    <row r="2306" spans="1:6">
      <c r="A2306" t="s">
        <v>2382</v>
      </c>
      <c r="B2306">
        <v>2022</v>
      </c>
      <c r="C2306" s="9">
        <v>44694</v>
      </c>
      <c r="D2306" t="s">
        <v>18</v>
      </c>
      <c r="E2306" t="s">
        <v>143</v>
      </c>
      <c r="F2306">
        <v>598</v>
      </c>
    </row>
    <row r="2307" spans="1:6">
      <c r="A2307" t="s">
        <v>2383</v>
      </c>
      <c r="B2307">
        <v>2022</v>
      </c>
      <c r="C2307" s="9">
        <v>44695</v>
      </c>
      <c r="D2307" t="s">
        <v>20</v>
      </c>
      <c r="E2307" t="s">
        <v>143</v>
      </c>
      <c r="F2307">
        <v>668.8</v>
      </c>
    </row>
    <row r="2308" spans="1:6">
      <c r="A2308" t="s">
        <v>2384</v>
      </c>
      <c r="B2308">
        <v>2022</v>
      </c>
      <c r="C2308" s="9">
        <v>44696</v>
      </c>
      <c r="D2308" t="s">
        <v>22</v>
      </c>
      <c r="E2308" t="s">
        <v>143</v>
      </c>
      <c r="F2308">
        <v>0</v>
      </c>
    </row>
    <row r="2309" spans="1:6">
      <c r="A2309" t="s">
        <v>2385</v>
      </c>
      <c r="B2309">
        <v>2022</v>
      </c>
      <c r="C2309" s="9">
        <v>44697</v>
      </c>
      <c r="D2309" t="s">
        <v>24</v>
      </c>
      <c r="E2309" t="s">
        <v>143</v>
      </c>
      <c r="F2309">
        <v>0</v>
      </c>
    </row>
    <row r="2310" spans="1:6">
      <c r="A2310" t="s">
        <v>2386</v>
      </c>
      <c r="B2310">
        <v>2022</v>
      </c>
      <c r="C2310" s="9">
        <v>44698</v>
      </c>
      <c r="D2310" t="s">
        <v>7</v>
      </c>
      <c r="E2310" t="s">
        <v>143</v>
      </c>
      <c r="F2310">
        <v>909.8</v>
      </c>
    </row>
    <row r="2311" spans="1:6">
      <c r="A2311" t="s">
        <v>2387</v>
      </c>
      <c r="B2311">
        <v>2022</v>
      </c>
      <c r="C2311" s="9">
        <v>44699</v>
      </c>
      <c r="D2311" t="s">
        <v>10</v>
      </c>
      <c r="E2311" t="s">
        <v>143</v>
      </c>
      <c r="F2311">
        <v>768</v>
      </c>
    </row>
    <row r="2312" spans="1:6">
      <c r="A2312" t="s">
        <v>2388</v>
      </c>
      <c r="B2312">
        <v>2022</v>
      </c>
      <c r="C2312" s="9">
        <v>44700</v>
      </c>
      <c r="D2312" t="s">
        <v>13</v>
      </c>
      <c r="E2312" t="s">
        <v>143</v>
      </c>
      <c r="F2312">
        <v>1266</v>
      </c>
    </row>
    <row r="2313" spans="1:6">
      <c r="A2313" t="s">
        <v>2389</v>
      </c>
      <c r="B2313">
        <v>2022</v>
      </c>
      <c r="C2313" s="9">
        <v>44701</v>
      </c>
      <c r="D2313" t="s">
        <v>18</v>
      </c>
      <c r="E2313" t="s">
        <v>143</v>
      </c>
      <c r="F2313">
        <v>783.5</v>
      </c>
    </row>
    <row r="2314" spans="1:6">
      <c r="A2314" t="s">
        <v>2390</v>
      </c>
      <c r="B2314">
        <v>2022</v>
      </c>
      <c r="C2314" s="9">
        <v>44702</v>
      </c>
      <c r="D2314" t="s">
        <v>20</v>
      </c>
      <c r="E2314" t="s">
        <v>143</v>
      </c>
      <c r="F2314">
        <v>636</v>
      </c>
    </row>
    <row r="2315" spans="1:6">
      <c r="A2315" t="s">
        <v>2391</v>
      </c>
      <c r="B2315">
        <v>2022</v>
      </c>
      <c r="C2315" s="9">
        <v>44703</v>
      </c>
      <c r="D2315" t="s">
        <v>22</v>
      </c>
      <c r="E2315" t="s">
        <v>143</v>
      </c>
      <c r="F2315">
        <v>0</v>
      </c>
    </row>
    <row r="2316" spans="1:6">
      <c r="A2316" t="s">
        <v>2392</v>
      </c>
      <c r="B2316">
        <v>2022</v>
      </c>
      <c r="C2316" s="9">
        <v>44704</v>
      </c>
      <c r="D2316" t="s">
        <v>24</v>
      </c>
      <c r="E2316" t="s">
        <v>143</v>
      </c>
      <c r="F2316">
        <v>0</v>
      </c>
    </row>
    <row r="2317" spans="1:6">
      <c r="A2317" t="s">
        <v>2393</v>
      </c>
      <c r="B2317">
        <v>2022</v>
      </c>
      <c r="C2317" s="9">
        <v>44705</v>
      </c>
      <c r="D2317" t="s">
        <v>7</v>
      </c>
      <c r="E2317" t="s">
        <v>143</v>
      </c>
      <c r="F2317">
        <v>570</v>
      </c>
    </row>
    <row r="2318" spans="1:6">
      <c r="A2318" t="s">
        <v>2394</v>
      </c>
      <c r="B2318">
        <v>2022</v>
      </c>
      <c r="C2318" s="9">
        <v>44706</v>
      </c>
      <c r="D2318" t="s">
        <v>10</v>
      </c>
      <c r="E2318" t="s">
        <v>143</v>
      </c>
      <c r="F2318">
        <v>836</v>
      </c>
    </row>
    <row r="2319" spans="1:6">
      <c r="A2319" t="s">
        <v>2395</v>
      </c>
      <c r="B2319">
        <v>2022</v>
      </c>
      <c r="C2319" s="9">
        <v>44707</v>
      </c>
      <c r="D2319" t="s">
        <v>13</v>
      </c>
      <c r="E2319" t="s">
        <v>143</v>
      </c>
      <c r="F2319">
        <v>0</v>
      </c>
    </row>
    <row r="2320" spans="1:6">
      <c r="A2320" t="s">
        <v>2396</v>
      </c>
      <c r="B2320">
        <v>2022</v>
      </c>
      <c r="C2320" s="9">
        <v>44708</v>
      </c>
      <c r="D2320" t="s">
        <v>18</v>
      </c>
      <c r="E2320" t="s">
        <v>143</v>
      </c>
      <c r="F2320">
        <v>1179</v>
      </c>
    </row>
    <row r="2321" spans="1:6">
      <c r="A2321" t="s">
        <v>2397</v>
      </c>
      <c r="B2321">
        <v>2022</v>
      </c>
      <c r="C2321" s="9">
        <v>44709</v>
      </c>
      <c r="D2321" t="s">
        <v>20</v>
      </c>
      <c r="E2321" t="s">
        <v>143</v>
      </c>
      <c r="F2321">
        <v>283</v>
      </c>
    </row>
    <row r="2322" spans="1:6">
      <c r="A2322" t="s">
        <v>2398</v>
      </c>
      <c r="B2322">
        <v>2022</v>
      </c>
      <c r="C2322" s="9">
        <v>44710</v>
      </c>
      <c r="D2322" t="s">
        <v>22</v>
      </c>
      <c r="E2322" t="s">
        <v>143</v>
      </c>
      <c r="F2322">
        <v>0</v>
      </c>
    </row>
    <row r="2323" spans="1:6">
      <c r="A2323" t="s">
        <v>2399</v>
      </c>
      <c r="B2323">
        <v>2022</v>
      </c>
      <c r="C2323" s="9">
        <v>44711</v>
      </c>
      <c r="D2323" t="s">
        <v>24</v>
      </c>
      <c r="E2323" t="s">
        <v>143</v>
      </c>
      <c r="F2323">
        <v>0</v>
      </c>
    </row>
    <row r="2324" spans="1:6">
      <c r="A2324" t="s">
        <v>2400</v>
      </c>
      <c r="B2324">
        <v>2022</v>
      </c>
      <c r="C2324" s="9">
        <v>44712</v>
      </c>
      <c r="D2324" t="s">
        <v>7</v>
      </c>
      <c r="E2324" t="s">
        <v>143</v>
      </c>
      <c r="F2324">
        <v>626</v>
      </c>
    </row>
    <row r="2325" spans="1:6">
      <c r="A2325" t="s">
        <v>2401</v>
      </c>
      <c r="B2325">
        <v>2022</v>
      </c>
      <c r="C2325" s="9">
        <v>44713</v>
      </c>
      <c r="D2325" t="s">
        <v>10</v>
      </c>
      <c r="E2325" t="s">
        <v>174</v>
      </c>
      <c r="F2325">
        <v>237</v>
      </c>
    </row>
    <row r="2326" spans="1:6">
      <c r="A2326" t="s">
        <v>2402</v>
      </c>
      <c r="B2326">
        <v>2022</v>
      </c>
      <c r="C2326" s="9">
        <v>44714</v>
      </c>
      <c r="D2326" t="s">
        <v>13</v>
      </c>
      <c r="E2326" t="s">
        <v>174</v>
      </c>
      <c r="F2326">
        <v>840</v>
      </c>
    </row>
    <row r="2327" spans="1:6">
      <c r="A2327" t="s">
        <v>2403</v>
      </c>
      <c r="B2327">
        <v>2022</v>
      </c>
      <c r="C2327" s="9">
        <v>44715</v>
      </c>
      <c r="D2327" t="s">
        <v>18</v>
      </c>
      <c r="E2327" t="s">
        <v>174</v>
      </c>
      <c r="F2327">
        <v>514</v>
      </c>
    </row>
    <row r="2328" spans="1:6">
      <c r="A2328" t="s">
        <v>2404</v>
      </c>
      <c r="B2328">
        <v>2022</v>
      </c>
      <c r="C2328" s="9">
        <v>44716</v>
      </c>
      <c r="D2328" t="s">
        <v>20</v>
      </c>
      <c r="E2328" t="s">
        <v>174</v>
      </c>
      <c r="F2328">
        <v>392</v>
      </c>
    </row>
    <row r="2329" spans="1:6">
      <c r="A2329" t="s">
        <v>2405</v>
      </c>
      <c r="B2329">
        <v>2022</v>
      </c>
      <c r="C2329" s="9">
        <v>44717</v>
      </c>
      <c r="D2329" t="s">
        <v>22</v>
      </c>
      <c r="E2329" t="s">
        <v>174</v>
      </c>
      <c r="F2329">
        <v>0</v>
      </c>
    </row>
    <row r="2330" spans="1:6">
      <c r="A2330" t="s">
        <v>2406</v>
      </c>
      <c r="B2330">
        <v>2022</v>
      </c>
      <c r="C2330" s="9">
        <v>44718</v>
      </c>
      <c r="D2330" t="s">
        <v>24</v>
      </c>
      <c r="E2330" t="s">
        <v>174</v>
      </c>
      <c r="F2330">
        <v>0</v>
      </c>
    </row>
    <row r="2331" spans="1:6">
      <c r="A2331" t="s">
        <v>2407</v>
      </c>
      <c r="B2331">
        <v>2022</v>
      </c>
      <c r="C2331" s="9">
        <v>44719</v>
      </c>
      <c r="D2331" t="s">
        <v>7</v>
      </c>
      <c r="E2331" t="s">
        <v>174</v>
      </c>
      <c r="F2331">
        <v>504</v>
      </c>
    </row>
    <row r="2332" spans="1:6">
      <c r="A2332" t="s">
        <v>2408</v>
      </c>
      <c r="B2332">
        <v>2022</v>
      </c>
      <c r="C2332" s="9">
        <v>44720</v>
      </c>
      <c r="D2332" t="s">
        <v>10</v>
      </c>
      <c r="E2332" t="s">
        <v>174</v>
      </c>
      <c r="F2332">
        <v>332.6</v>
      </c>
    </row>
    <row r="2333" spans="1:6">
      <c r="A2333" t="s">
        <v>2409</v>
      </c>
      <c r="B2333">
        <v>2022</v>
      </c>
      <c r="C2333" s="9">
        <v>44721</v>
      </c>
      <c r="D2333" t="s">
        <v>13</v>
      </c>
      <c r="E2333" t="s">
        <v>174</v>
      </c>
      <c r="F2333">
        <v>689.2</v>
      </c>
    </row>
    <row r="2334" spans="1:6">
      <c r="A2334" t="s">
        <v>2410</v>
      </c>
      <c r="B2334">
        <v>2022</v>
      </c>
      <c r="C2334" s="9">
        <v>44722</v>
      </c>
      <c r="D2334" t="s">
        <v>18</v>
      </c>
      <c r="E2334" t="s">
        <v>174</v>
      </c>
      <c r="F2334">
        <v>663</v>
      </c>
    </row>
    <row r="2335" spans="1:6">
      <c r="A2335" t="s">
        <v>2411</v>
      </c>
      <c r="B2335">
        <v>2022</v>
      </c>
      <c r="C2335" s="9">
        <v>44723</v>
      </c>
      <c r="D2335" t="s">
        <v>20</v>
      </c>
      <c r="E2335" t="s">
        <v>174</v>
      </c>
      <c r="F2335">
        <v>346</v>
      </c>
    </row>
    <row r="2336" spans="1:6">
      <c r="A2336" t="s">
        <v>2412</v>
      </c>
      <c r="B2336">
        <v>2022</v>
      </c>
      <c r="C2336" s="9">
        <v>44724</v>
      </c>
      <c r="D2336" t="s">
        <v>22</v>
      </c>
      <c r="E2336" t="s">
        <v>174</v>
      </c>
      <c r="F2336">
        <v>0</v>
      </c>
    </row>
    <row r="2337" spans="1:6">
      <c r="A2337" t="s">
        <v>2413</v>
      </c>
      <c r="B2337">
        <v>2022</v>
      </c>
      <c r="C2337" s="9">
        <v>44725</v>
      </c>
      <c r="D2337" t="s">
        <v>24</v>
      </c>
      <c r="E2337" t="s">
        <v>174</v>
      </c>
      <c r="F2337">
        <v>0</v>
      </c>
    </row>
    <row r="2338" spans="1:6">
      <c r="A2338" t="s">
        <v>2414</v>
      </c>
      <c r="B2338">
        <v>2022</v>
      </c>
      <c r="C2338" s="9">
        <v>44726</v>
      </c>
      <c r="D2338" t="s">
        <v>7</v>
      </c>
      <c r="E2338" t="s">
        <v>174</v>
      </c>
      <c r="F2338">
        <v>753.2</v>
      </c>
    </row>
    <row r="2339" spans="1:6">
      <c r="A2339" t="s">
        <v>2415</v>
      </c>
      <c r="B2339">
        <v>2022</v>
      </c>
      <c r="C2339" s="9">
        <v>44727</v>
      </c>
      <c r="D2339" t="s">
        <v>10</v>
      </c>
      <c r="E2339" t="s">
        <v>174</v>
      </c>
      <c r="F2339">
        <v>965</v>
      </c>
    </row>
    <row r="2340" spans="1:6">
      <c r="A2340" t="s">
        <v>2416</v>
      </c>
      <c r="B2340">
        <v>2022</v>
      </c>
      <c r="C2340" s="9">
        <v>44728</v>
      </c>
      <c r="D2340" t="s">
        <v>13</v>
      </c>
      <c r="E2340" t="s">
        <v>174</v>
      </c>
      <c r="F2340">
        <v>1013.8</v>
      </c>
    </row>
    <row r="2341" spans="1:6">
      <c r="A2341" t="s">
        <v>2417</v>
      </c>
      <c r="B2341">
        <v>2022</v>
      </c>
      <c r="C2341" s="9">
        <v>44729</v>
      </c>
      <c r="D2341" t="s">
        <v>18</v>
      </c>
      <c r="E2341" t="s">
        <v>174</v>
      </c>
      <c r="F2341">
        <v>599</v>
      </c>
    </row>
    <row r="2342" spans="1:6">
      <c r="A2342" t="s">
        <v>2418</v>
      </c>
      <c r="B2342">
        <v>2022</v>
      </c>
      <c r="C2342" s="9">
        <v>44730</v>
      </c>
      <c r="D2342" t="s">
        <v>20</v>
      </c>
      <c r="E2342" t="s">
        <v>174</v>
      </c>
      <c r="F2342">
        <v>630</v>
      </c>
    </row>
    <row r="2343" spans="1:6">
      <c r="A2343" t="s">
        <v>2419</v>
      </c>
      <c r="B2343">
        <v>2022</v>
      </c>
      <c r="C2343" s="9">
        <v>44731</v>
      </c>
      <c r="D2343" t="s">
        <v>22</v>
      </c>
      <c r="E2343" t="s">
        <v>174</v>
      </c>
      <c r="F2343">
        <v>0</v>
      </c>
    </row>
    <row r="2344" spans="1:6">
      <c r="A2344" t="s">
        <v>2420</v>
      </c>
      <c r="B2344">
        <v>2022</v>
      </c>
      <c r="C2344" s="9">
        <v>44732</v>
      </c>
      <c r="D2344" t="s">
        <v>24</v>
      </c>
      <c r="E2344" t="s">
        <v>174</v>
      </c>
      <c r="F2344">
        <v>0</v>
      </c>
    </row>
    <row r="2345" spans="1:6">
      <c r="A2345" t="s">
        <v>2421</v>
      </c>
      <c r="B2345">
        <v>2022</v>
      </c>
      <c r="C2345" s="9">
        <v>44733</v>
      </c>
      <c r="D2345" t="s">
        <v>7</v>
      </c>
      <c r="E2345" t="s">
        <v>174</v>
      </c>
      <c r="F2345">
        <v>350</v>
      </c>
    </row>
    <row r="2346" spans="1:6">
      <c r="A2346" t="s">
        <v>2422</v>
      </c>
      <c r="B2346">
        <v>2022</v>
      </c>
      <c r="C2346" s="9">
        <v>44734</v>
      </c>
      <c r="D2346" t="s">
        <v>10</v>
      </c>
      <c r="E2346" t="s">
        <v>174</v>
      </c>
      <c r="F2346">
        <v>638</v>
      </c>
    </row>
    <row r="2347" spans="1:6">
      <c r="A2347" t="s">
        <v>2423</v>
      </c>
      <c r="B2347">
        <v>2022</v>
      </c>
      <c r="C2347" s="9">
        <v>44735</v>
      </c>
      <c r="D2347" t="s">
        <v>13</v>
      </c>
      <c r="E2347" t="s">
        <v>174</v>
      </c>
      <c r="F2347">
        <v>743</v>
      </c>
    </row>
    <row r="2348" spans="1:6">
      <c r="A2348" t="s">
        <v>2424</v>
      </c>
      <c r="B2348">
        <v>2022</v>
      </c>
      <c r="C2348" s="9">
        <v>44736</v>
      </c>
      <c r="D2348" t="s">
        <v>18</v>
      </c>
      <c r="E2348" t="s">
        <v>174</v>
      </c>
      <c r="F2348">
        <v>872</v>
      </c>
    </row>
    <row r="2349" spans="1:6">
      <c r="A2349" t="s">
        <v>2425</v>
      </c>
      <c r="B2349">
        <v>2022</v>
      </c>
      <c r="C2349" s="9">
        <v>44737</v>
      </c>
      <c r="D2349" t="s">
        <v>20</v>
      </c>
      <c r="E2349" t="s">
        <v>174</v>
      </c>
      <c r="F2349">
        <v>1084.4000000000001</v>
      </c>
    </row>
    <row r="2350" spans="1:6">
      <c r="A2350" t="s">
        <v>2426</v>
      </c>
      <c r="B2350">
        <v>2022</v>
      </c>
      <c r="C2350" s="9">
        <v>44738</v>
      </c>
      <c r="D2350" t="s">
        <v>22</v>
      </c>
      <c r="E2350" t="s">
        <v>174</v>
      </c>
      <c r="F2350">
        <v>0</v>
      </c>
    </row>
    <row r="2351" spans="1:6">
      <c r="A2351" t="s">
        <v>2427</v>
      </c>
      <c r="B2351">
        <v>2022</v>
      </c>
      <c r="C2351" s="9">
        <v>44739</v>
      </c>
      <c r="D2351" t="s">
        <v>24</v>
      </c>
      <c r="E2351" t="s">
        <v>174</v>
      </c>
      <c r="F2351">
        <v>0</v>
      </c>
    </row>
    <row r="2352" spans="1:6">
      <c r="A2352" t="s">
        <v>2428</v>
      </c>
      <c r="B2352">
        <v>2022</v>
      </c>
      <c r="C2352" s="9">
        <v>44740</v>
      </c>
      <c r="D2352" t="s">
        <v>7</v>
      </c>
      <c r="E2352" t="s">
        <v>174</v>
      </c>
      <c r="F2352">
        <v>390</v>
      </c>
    </row>
    <row r="2353" spans="1:6">
      <c r="A2353" t="s">
        <v>2429</v>
      </c>
      <c r="B2353">
        <v>2022</v>
      </c>
      <c r="C2353" s="9">
        <v>44741</v>
      </c>
      <c r="D2353" t="s">
        <v>10</v>
      </c>
      <c r="E2353" t="s">
        <v>174</v>
      </c>
      <c r="F2353">
        <v>768</v>
      </c>
    </row>
    <row r="2354" spans="1:6">
      <c r="A2354" t="s">
        <v>2430</v>
      </c>
      <c r="B2354">
        <v>2022</v>
      </c>
      <c r="C2354" s="9">
        <v>44742</v>
      </c>
      <c r="D2354" t="s">
        <v>13</v>
      </c>
      <c r="E2354" t="s">
        <v>174</v>
      </c>
      <c r="F2354">
        <v>691</v>
      </c>
    </row>
    <row r="2355" spans="1:6">
      <c r="A2355" t="s">
        <v>2431</v>
      </c>
      <c r="B2355">
        <v>2025</v>
      </c>
      <c r="C2355" s="9">
        <v>46011</v>
      </c>
      <c r="D2355" t="s">
        <v>20</v>
      </c>
      <c r="E2355" t="s">
        <v>358</v>
      </c>
      <c r="F2355">
        <v>324</v>
      </c>
    </row>
    <row r="2356" spans="1:6">
      <c r="A2356" t="s">
        <v>2432</v>
      </c>
      <c r="B2356">
        <v>2025</v>
      </c>
      <c r="C2356" s="9">
        <v>46012</v>
      </c>
      <c r="D2356" t="s">
        <v>22</v>
      </c>
      <c r="E2356" t="s">
        <v>358</v>
      </c>
      <c r="F2356">
        <v>0</v>
      </c>
    </row>
    <row r="2357" spans="1:6">
      <c r="A2357" t="s">
        <v>2433</v>
      </c>
      <c r="B2357">
        <v>2025</v>
      </c>
      <c r="C2357" s="9">
        <v>46013</v>
      </c>
      <c r="D2357" t="s">
        <v>24</v>
      </c>
      <c r="E2357" t="s">
        <v>358</v>
      </c>
      <c r="F2357">
        <v>910</v>
      </c>
    </row>
    <row r="2358" spans="1:6">
      <c r="A2358" t="s">
        <v>2434</v>
      </c>
      <c r="B2358">
        <v>2025</v>
      </c>
      <c r="C2358" s="9">
        <v>46014</v>
      </c>
      <c r="D2358" t="s">
        <v>7</v>
      </c>
      <c r="E2358" t="s">
        <v>358</v>
      </c>
      <c r="F2358">
        <v>1049</v>
      </c>
    </row>
    <row r="2359" spans="1:6">
      <c r="A2359" t="s">
        <v>2435</v>
      </c>
      <c r="B2359">
        <v>2025</v>
      </c>
      <c r="C2359" s="9">
        <v>46016</v>
      </c>
      <c r="D2359" t="s">
        <v>13</v>
      </c>
      <c r="E2359" t="s">
        <v>358</v>
      </c>
      <c r="F2359">
        <v>0</v>
      </c>
    </row>
    <row r="2360" spans="1:6">
      <c r="A2360" t="s">
        <v>2436</v>
      </c>
      <c r="B2360">
        <v>2025</v>
      </c>
      <c r="C2360" s="9">
        <v>46019</v>
      </c>
      <c r="D2360" t="s">
        <v>22</v>
      </c>
      <c r="E2360" t="s">
        <v>358</v>
      </c>
      <c r="F2360">
        <v>0</v>
      </c>
    </row>
    <row r="2361" spans="1:6">
      <c r="A2361" t="s">
        <v>2451</v>
      </c>
      <c r="B2361">
        <v>2024</v>
      </c>
      <c r="C2361" s="9">
        <v>43376</v>
      </c>
      <c r="D2361" t="s">
        <v>10</v>
      </c>
      <c r="E2361" t="s">
        <v>296</v>
      </c>
      <c r="F2361">
        <v>0</v>
      </c>
    </row>
    <row r="2362" spans="1:6">
      <c r="A2362" t="s">
        <v>2452</v>
      </c>
      <c r="B2362">
        <v>2024</v>
      </c>
      <c r="C2362" s="9">
        <v>43377</v>
      </c>
      <c r="D2362" t="s">
        <v>13</v>
      </c>
      <c r="E2362" t="s">
        <v>296</v>
      </c>
      <c r="F2362">
        <v>0</v>
      </c>
    </row>
    <row r="2363" spans="1:6">
      <c r="A2363" t="s">
        <v>2453</v>
      </c>
      <c r="B2363">
        <v>2024</v>
      </c>
      <c r="C2363" s="9">
        <v>43378</v>
      </c>
      <c r="D2363" t="s">
        <v>18</v>
      </c>
      <c r="E2363" t="s">
        <v>296</v>
      </c>
      <c r="F2363">
        <v>0</v>
      </c>
    </row>
    <row r="2364" spans="1:6">
      <c r="A2364" t="s">
        <v>2454</v>
      </c>
      <c r="B2364">
        <v>2024</v>
      </c>
      <c r="C2364" s="9">
        <v>43379</v>
      </c>
      <c r="D2364" t="s">
        <v>20</v>
      </c>
      <c r="E2364" t="s">
        <v>296</v>
      </c>
      <c r="F2364">
        <v>0</v>
      </c>
    </row>
    <row r="2365" spans="1:6">
      <c r="A2365" t="s">
        <v>2455</v>
      </c>
      <c r="B2365">
        <v>2024</v>
      </c>
      <c r="C2365" s="9">
        <v>43380</v>
      </c>
      <c r="D2365" t="s">
        <v>22</v>
      </c>
      <c r="E2365" t="s">
        <v>296</v>
      </c>
      <c r="F2365">
        <v>0</v>
      </c>
    </row>
    <row r="2366" spans="1:6">
      <c r="A2366" t="s">
        <v>2456</v>
      </c>
      <c r="B2366">
        <v>2024</v>
      </c>
      <c r="C2366" s="9">
        <v>43381</v>
      </c>
      <c r="D2366" t="s">
        <v>24</v>
      </c>
      <c r="E2366" t="s">
        <v>296</v>
      </c>
      <c r="F2366">
        <v>0</v>
      </c>
    </row>
    <row r="2367" spans="1:6">
      <c r="A2367" t="s">
        <v>2457</v>
      </c>
      <c r="B2367">
        <v>2024</v>
      </c>
      <c r="C2367" s="9">
        <v>43382</v>
      </c>
      <c r="D2367" t="s">
        <v>7</v>
      </c>
      <c r="E2367" t="s">
        <v>296</v>
      </c>
      <c r="F2367">
        <v>0</v>
      </c>
    </row>
    <row r="2368" spans="1:6">
      <c r="A2368" t="s">
        <v>2458</v>
      </c>
      <c r="B2368">
        <v>2024</v>
      </c>
      <c r="C2368" s="9">
        <v>43383</v>
      </c>
      <c r="D2368" t="s">
        <v>10</v>
      </c>
      <c r="E2368" t="s">
        <v>296</v>
      </c>
      <c r="F2368">
        <v>0</v>
      </c>
    </row>
    <row r="2369" spans="1:6">
      <c r="A2369" t="s">
        <v>2459</v>
      </c>
      <c r="B2369">
        <v>2024</v>
      </c>
      <c r="C2369" s="9">
        <v>43384</v>
      </c>
      <c r="D2369" t="s">
        <v>13</v>
      </c>
      <c r="E2369" t="s">
        <v>296</v>
      </c>
      <c r="F2369">
        <v>0</v>
      </c>
    </row>
    <row r="2370" spans="1:6">
      <c r="A2370" t="s">
        <v>2460</v>
      </c>
      <c r="B2370">
        <v>2024</v>
      </c>
      <c r="C2370" s="9">
        <v>43385</v>
      </c>
      <c r="D2370" t="s">
        <v>18</v>
      </c>
      <c r="E2370" t="s">
        <v>296</v>
      </c>
      <c r="F2370">
        <v>0</v>
      </c>
    </row>
    <row r="2371" spans="1:6">
      <c r="A2371" t="s">
        <v>2461</v>
      </c>
      <c r="B2371">
        <v>2024</v>
      </c>
      <c r="C2371" s="9">
        <v>43386</v>
      </c>
      <c r="D2371" t="s">
        <v>20</v>
      </c>
      <c r="E2371" t="s">
        <v>296</v>
      </c>
      <c r="F2371">
        <v>0</v>
      </c>
    </row>
    <row r="2372" spans="1:6">
      <c r="A2372" t="s">
        <v>2462</v>
      </c>
      <c r="B2372">
        <v>2024</v>
      </c>
      <c r="C2372" s="9">
        <v>43387</v>
      </c>
      <c r="D2372" t="s">
        <v>22</v>
      </c>
      <c r="E2372" t="s">
        <v>296</v>
      </c>
      <c r="F2372">
        <v>0</v>
      </c>
    </row>
    <row r="2373" spans="1:6">
      <c r="A2373" t="s">
        <v>2463</v>
      </c>
      <c r="B2373">
        <v>2024</v>
      </c>
      <c r="C2373" s="9">
        <v>43388</v>
      </c>
      <c r="D2373" t="s">
        <v>24</v>
      </c>
      <c r="E2373" t="s">
        <v>296</v>
      </c>
      <c r="F2373">
        <v>0</v>
      </c>
    </row>
    <row r="2374" spans="1:6">
      <c r="A2374" t="s">
        <v>2464</v>
      </c>
      <c r="B2374">
        <v>2024</v>
      </c>
      <c r="C2374" s="9">
        <v>43389</v>
      </c>
      <c r="D2374" t="s">
        <v>7</v>
      </c>
      <c r="E2374" t="s">
        <v>296</v>
      </c>
      <c r="F2374">
        <v>0</v>
      </c>
    </row>
    <row r="2375" spans="1:6">
      <c r="A2375" t="s">
        <v>2465</v>
      </c>
      <c r="B2375">
        <v>2024</v>
      </c>
      <c r="C2375" s="9">
        <v>43390</v>
      </c>
      <c r="D2375" t="s">
        <v>10</v>
      </c>
      <c r="E2375" t="s">
        <v>296</v>
      </c>
      <c r="F2375">
        <v>0</v>
      </c>
    </row>
    <row r="2376" spans="1:6">
      <c r="A2376" t="s">
        <v>2466</v>
      </c>
      <c r="B2376">
        <v>2024</v>
      </c>
      <c r="C2376" s="9">
        <v>43391</v>
      </c>
      <c r="D2376" t="s">
        <v>13</v>
      </c>
      <c r="E2376" t="s">
        <v>296</v>
      </c>
      <c r="F2376">
        <v>0</v>
      </c>
    </row>
    <row r="2377" spans="1:6">
      <c r="A2377" t="s">
        <v>2467</v>
      </c>
      <c r="B2377">
        <v>2024</v>
      </c>
      <c r="C2377" s="9">
        <v>43392</v>
      </c>
      <c r="D2377" t="s">
        <v>18</v>
      </c>
      <c r="E2377" t="s">
        <v>296</v>
      </c>
      <c r="F2377">
        <v>0</v>
      </c>
    </row>
    <row r="2378" spans="1:6">
      <c r="A2378" t="s">
        <v>2468</v>
      </c>
      <c r="B2378">
        <v>2024</v>
      </c>
      <c r="C2378" s="9">
        <v>43393</v>
      </c>
      <c r="D2378" t="s">
        <v>20</v>
      </c>
      <c r="E2378" t="s">
        <v>296</v>
      </c>
      <c r="F2378">
        <v>0</v>
      </c>
    </row>
    <row r="2379" spans="1:6">
      <c r="A2379" t="s">
        <v>2469</v>
      </c>
      <c r="B2379">
        <v>2024</v>
      </c>
      <c r="C2379" s="9">
        <v>43394</v>
      </c>
      <c r="D2379" t="s">
        <v>22</v>
      </c>
      <c r="E2379" t="s">
        <v>296</v>
      </c>
      <c r="F2379">
        <v>0</v>
      </c>
    </row>
    <row r="2380" spans="1:6">
      <c r="A2380" t="s">
        <v>2470</v>
      </c>
      <c r="B2380">
        <v>2024</v>
      </c>
      <c r="C2380" s="9">
        <v>43395</v>
      </c>
      <c r="D2380" t="s">
        <v>24</v>
      </c>
      <c r="E2380" t="s">
        <v>296</v>
      </c>
      <c r="F2380">
        <v>0</v>
      </c>
    </row>
    <row r="2381" spans="1:6">
      <c r="A2381" t="s">
        <v>2471</v>
      </c>
      <c r="B2381">
        <v>2024</v>
      </c>
      <c r="C2381" s="9">
        <v>43396</v>
      </c>
      <c r="D2381" t="s">
        <v>7</v>
      </c>
      <c r="E2381" t="s">
        <v>296</v>
      </c>
      <c r="F2381">
        <v>0</v>
      </c>
    </row>
    <row r="2382" spans="1:6">
      <c r="A2382" t="s">
        <v>2472</v>
      </c>
      <c r="B2382">
        <v>2024</v>
      </c>
      <c r="C2382" s="9">
        <v>43397</v>
      </c>
      <c r="D2382" t="s">
        <v>10</v>
      </c>
      <c r="E2382" t="s">
        <v>296</v>
      </c>
      <c r="F2382">
        <v>0</v>
      </c>
    </row>
    <row r="2383" spans="1:6">
      <c r="A2383" t="s">
        <v>2473</v>
      </c>
      <c r="B2383">
        <v>2024</v>
      </c>
      <c r="C2383" s="9">
        <v>43398</v>
      </c>
      <c r="D2383" t="s">
        <v>13</v>
      </c>
      <c r="E2383" t="s">
        <v>296</v>
      </c>
      <c r="F2383">
        <v>0</v>
      </c>
    </row>
    <row r="2384" spans="1:6">
      <c r="A2384" t="s">
        <v>2474</v>
      </c>
      <c r="B2384">
        <v>2024</v>
      </c>
      <c r="C2384" s="9">
        <v>43399</v>
      </c>
      <c r="D2384" t="s">
        <v>18</v>
      </c>
      <c r="E2384" t="s">
        <v>296</v>
      </c>
      <c r="F2384">
        <v>0</v>
      </c>
    </row>
    <row r="2385" spans="1:6">
      <c r="A2385" t="s">
        <v>2475</v>
      </c>
      <c r="B2385">
        <v>2024</v>
      </c>
      <c r="C2385" s="9">
        <v>43400</v>
      </c>
      <c r="D2385" t="s">
        <v>20</v>
      </c>
      <c r="E2385" t="s">
        <v>296</v>
      </c>
      <c r="F2385">
        <v>0</v>
      </c>
    </row>
    <row r="2386" spans="1:6">
      <c r="A2386" t="s">
        <v>2476</v>
      </c>
      <c r="B2386">
        <v>2024</v>
      </c>
      <c r="C2386" s="9">
        <v>43401</v>
      </c>
      <c r="D2386" t="s">
        <v>22</v>
      </c>
      <c r="E2386" t="s">
        <v>296</v>
      </c>
      <c r="F2386">
        <v>0</v>
      </c>
    </row>
    <row r="2387" spans="1:6">
      <c r="A2387" t="s">
        <v>2477</v>
      </c>
      <c r="B2387">
        <v>2024</v>
      </c>
      <c r="C2387" s="9">
        <v>43403</v>
      </c>
      <c r="D2387" t="s">
        <v>7</v>
      </c>
      <c r="E2387" t="s">
        <v>296</v>
      </c>
      <c r="F2387">
        <v>0</v>
      </c>
    </row>
    <row r="2388" spans="1:6">
      <c r="A2388" t="s">
        <v>2478</v>
      </c>
      <c r="B2388">
        <v>2024</v>
      </c>
      <c r="C2388" s="9">
        <v>43404</v>
      </c>
      <c r="D2388" t="s">
        <v>10</v>
      </c>
      <c r="E2388" t="s">
        <v>296</v>
      </c>
      <c r="F2388">
        <v>0</v>
      </c>
    </row>
    <row r="2389" spans="1:6">
      <c r="A2389" t="s">
        <v>2479</v>
      </c>
      <c r="B2389">
        <v>2024</v>
      </c>
      <c r="C2389" s="9">
        <v>43405</v>
      </c>
      <c r="D2389" t="s">
        <v>13</v>
      </c>
      <c r="E2389" t="s">
        <v>296</v>
      </c>
      <c r="F2389">
        <v>0</v>
      </c>
    </row>
    <row r="2390" spans="1:6">
      <c r="A2390" t="s">
        <v>2480</v>
      </c>
      <c r="B2390">
        <v>2024</v>
      </c>
      <c r="C2390" s="9">
        <v>43406</v>
      </c>
      <c r="D2390" t="s">
        <v>18</v>
      </c>
      <c r="E2390" t="s">
        <v>296</v>
      </c>
      <c r="F2390">
        <v>0</v>
      </c>
    </row>
    <row r="2391" spans="1:6">
      <c r="A2391" t="s">
        <v>2481</v>
      </c>
      <c r="B2391">
        <v>2024</v>
      </c>
      <c r="C2391" s="9">
        <v>43407</v>
      </c>
      <c r="D2391" t="s">
        <v>20</v>
      </c>
      <c r="E2391" t="s">
        <v>296</v>
      </c>
      <c r="F2391">
        <v>0</v>
      </c>
    </row>
    <row r="2392" spans="1:6">
      <c r="A2392" t="s">
        <v>2482</v>
      </c>
      <c r="B2392">
        <v>2024</v>
      </c>
      <c r="C2392" s="9">
        <v>43408</v>
      </c>
      <c r="D2392" t="s">
        <v>22</v>
      </c>
      <c r="E2392" t="s">
        <v>296</v>
      </c>
      <c r="F2392">
        <v>0</v>
      </c>
    </row>
    <row r="2393" spans="1:6">
      <c r="A2393" t="s">
        <v>2483</v>
      </c>
      <c r="B2393">
        <v>2024</v>
      </c>
      <c r="C2393" s="9">
        <v>43409</v>
      </c>
      <c r="D2393" t="s">
        <v>24</v>
      </c>
      <c r="E2393" t="s">
        <v>296</v>
      </c>
      <c r="F2393">
        <v>0</v>
      </c>
    </row>
    <row r="2394" spans="1:6">
      <c r="A2394" t="s">
        <v>2484</v>
      </c>
      <c r="B2394">
        <v>2024</v>
      </c>
      <c r="C2394" s="9">
        <v>43410</v>
      </c>
      <c r="D2394" t="s">
        <v>7</v>
      </c>
      <c r="E2394" t="s">
        <v>296</v>
      </c>
      <c r="F2394">
        <v>0</v>
      </c>
    </row>
    <row r="2395" spans="1:6">
      <c r="A2395" t="s">
        <v>2485</v>
      </c>
      <c r="B2395">
        <v>2024</v>
      </c>
      <c r="C2395" s="9">
        <v>43411</v>
      </c>
      <c r="D2395" t="s">
        <v>10</v>
      </c>
      <c r="E2395" t="s">
        <v>296</v>
      </c>
      <c r="F2395">
        <v>0</v>
      </c>
    </row>
    <row r="2396" spans="1:6">
      <c r="A2396" t="s">
        <v>2486</v>
      </c>
      <c r="B2396">
        <v>2018</v>
      </c>
      <c r="C2396" s="9">
        <v>43276</v>
      </c>
      <c r="D2396" t="s">
        <v>24</v>
      </c>
      <c r="E2396" t="s">
        <v>8</v>
      </c>
      <c r="F2396">
        <v>0</v>
      </c>
    </row>
    <row r="2397" spans="1:6">
      <c r="A2397" t="s">
        <v>2487</v>
      </c>
      <c r="B2397">
        <v>2024</v>
      </c>
      <c r="C2397" s="9">
        <v>43277</v>
      </c>
      <c r="D2397" t="s">
        <v>7</v>
      </c>
      <c r="E2397" t="s">
        <v>8</v>
      </c>
      <c r="F2397">
        <v>0</v>
      </c>
    </row>
    <row r="2398" spans="1:6">
      <c r="A2398" t="s">
        <v>2488</v>
      </c>
      <c r="B2398">
        <v>2024</v>
      </c>
      <c r="C2398" s="9">
        <v>43278</v>
      </c>
      <c r="D2398" t="s">
        <v>10</v>
      </c>
      <c r="E2398" t="s">
        <v>8</v>
      </c>
      <c r="F2398">
        <v>0</v>
      </c>
    </row>
    <row r="2399" spans="1:6">
      <c r="A2399" t="s">
        <v>2489</v>
      </c>
      <c r="B2399">
        <v>2024</v>
      </c>
      <c r="C2399" s="9">
        <v>43279</v>
      </c>
      <c r="D2399" t="s">
        <v>13</v>
      </c>
      <c r="E2399" t="s">
        <v>8</v>
      </c>
      <c r="F2399">
        <v>0</v>
      </c>
    </row>
    <row r="2400" spans="1:6">
      <c r="A2400" t="s">
        <v>2490</v>
      </c>
      <c r="B2400">
        <v>2024</v>
      </c>
      <c r="C2400" s="9">
        <v>43280</v>
      </c>
      <c r="D2400" t="s">
        <v>18</v>
      </c>
      <c r="E2400" t="s">
        <v>8</v>
      </c>
      <c r="F2400">
        <v>0</v>
      </c>
    </row>
    <row r="2401" spans="1:6">
      <c r="A2401" t="s">
        <v>2491</v>
      </c>
      <c r="B2401">
        <v>2024</v>
      </c>
      <c r="C2401" s="9">
        <v>43281</v>
      </c>
      <c r="D2401" t="s">
        <v>20</v>
      </c>
      <c r="E2401" t="s">
        <v>8</v>
      </c>
      <c r="F2401">
        <v>0</v>
      </c>
    </row>
    <row r="2402" spans="1:6">
      <c r="A2402" t="s">
        <v>2492</v>
      </c>
      <c r="B2402">
        <v>2024</v>
      </c>
      <c r="C2402" s="9">
        <v>43282</v>
      </c>
      <c r="D2402" t="s">
        <v>22</v>
      </c>
      <c r="E2402" t="s">
        <v>8</v>
      </c>
      <c r="F2402">
        <v>0</v>
      </c>
    </row>
    <row r="2403" spans="1:6">
      <c r="A2403" t="s">
        <v>2493</v>
      </c>
      <c r="B2403">
        <v>2024</v>
      </c>
      <c r="C2403" s="9">
        <v>43283</v>
      </c>
      <c r="D2403" t="s">
        <v>24</v>
      </c>
      <c r="E2403" t="s">
        <v>8</v>
      </c>
      <c r="F2403">
        <v>0</v>
      </c>
    </row>
    <row r="2404" spans="1:6">
      <c r="A2404" t="s">
        <v>2494</v>
      </c>
      <c r="B2404">
        <v>2024</v>
      </c>
      <c r="C2404" s="9">
        <v>43284</v>
      </c>
      <c r="D2404" t="s">
        <v>7</v>
      </c>
      <c r="E2404" t="s">
        <v>8</v>
      </c>
      <c r="F2404">
        <v>0</v>
      </c>
    </row>
    <row r="2405" spans="1:6">
      <c r="A2405" t="s">
        <v>2495</v>
      </c>
      <c r="B2405">
        <v>2024</v>
      </c>
      <c r="C2405" s="9">
        <v>43285</v>
      </c>
      <c r="D2405" t="s">
        <v>10</v>
      </c>
      <c r="E2405" t="s">
        <v>8</v>
      </c>
      <c r="F2405">
        <v>0</v>
      </c>
    </row>
    <row r="2406" spans="1:6">
      <c r="A2406" t="s">
        <v>2496</v>
      </c>
      <c r="B2406">
        <v>2024</v>
      </c>
      <c r="C2406" s="9">
        <v>43286</v>
      </c>
      <c r="D2406" t="s">
        <v>13</v>
      </c>
      <c r="E2406" t="s">
        <v>8</v>
      </c>
      <c r="F2406">
        <v>0</v>
      </c>
    </row>
    <row r="2407" spans="1:6">
      <c r="A2407" t="s">
        <v>2497</v>
      </c>
      <c r="B2407">
        <v>2024</v>
      </c>
      <c r="C2407" s="9">
        <v>43287</v>
      </c>
      <c r="D2407" t="s">
        <v>18</v>
      </c>
      <c r="E2407" t="s">
        <v>8</v>
      </c>
      <c r="F2407">
        <v>0</v>
      </c>
    </row>
    <row r="2408" spans="1:6">
      <c r="A2408" t="s">
        <v>2498</v>
      </c>
      <c r="B2408">
        <v>2024</v>
      </c>
      <c r="C2408" s="9">
        <v>43288</v>
      </c>
      <c r="D2408" t="s">
        <v>20</v>
      </c>
      <c r="E2408" t="s">
        <v>8</v>
      </c>
      <c r="F2408">
        <v>0</v>
      </c>
    </row>
    <row r="2409" spans="1:6">
      <c r="A2409" t="s">
        <v>2499</v>
      </c>
      <c r="B2409">
        <v>2024</v>
      </c>
      <c r="C2409" s="9">
        <v>43289</v>
      </c>
      <c r="D2409" t="s">
        <v>22</v>
      </c>
      <c r="E2409" t="s">
        <v>8</v>
      </c>
      <c r="F2409">
        <v>0</v>
      </c>
    </row>
    <row r="2410" spans="1:6">
      <c r="A2410" t="s">
        <v>2500</v>
      </c>
      <c r="B2410">
        <v>2024</v>
      </c>
      <c r="C2410" s="9">
        <v>43290</v>
      </c>
      <c r="D2410" t="s">
        <v>24</v>
      </c>
      <c r="E2410" t="s">
        <v>8</v>
      </c>
      <c r="F2410">
        <v>0</v>
      </c>
    </row>
    <row r="2411" spans="1:6">
      <c r="A2411" t="s">
        <v>2501</v>
      </c>
      <c r="B2411">
        <v>2024</v>
      </c>
      <c r="C2411" s="9">
        <v>43291</v>
      </c>
      <c r="D2411" t="s">
        <v>7</v>
      </c>
      <c r="E2411" t="s">
        <v>8</v>
      </c>
      <c r="F2411">
        <v>0</v>
      </c>
    </row>
    <row r="2412" spans="1:6">
      <c r="A2412" t="s">
        <v>2502</v>
      </c>
      <c r="B2412">
        <v>2024</v>
      </c>
      <c r="C2412" s="9">
        <v>43292</v>
      </c>
      <c r="D2412" t="s">
        <v>10</v>
      </c>
      <c r="E2412" t="s">
        <v>8</v>
      </c>
      <c r="F2412">
        <v>0</v>
      </c>
    </row>
    <row r="2413" spans="1:6">
      <c r="A2413" t="s">
        <v>2503</v>
      </c>
      <c r="B2413">
        <v>2024</v>
      </c>
      <c r="C2413" s="9">
        <v>43293</v>
      </c>
      <c r="D2413" t="s">
        <v>13</v>
      </c>
      <c r="E2413" t="s">
        <v>8</v>
      </c>
      <c r="F2413">
        <v>0</v>
      </c>
    </row>
    <row r="2414" spans="1:6">
      <c r="A2414" t="s">
        <v>2504</v>
      </c>
      <c r="B2414">
        <v>2024</v>
      </c>
      <c r="C2414" s="9">
        <v>43294</v>
      </c>
      <c r="D2414" t="s">
        <v>18</v>
      </c>
      <c r="E2414" t="s">
        <v>8</v>
      </c>
      <c r="F2414">
        <v>0</v>
      </c>
    </row>
    <row r="2415" spans="1:6">
      <c r="A2415" t="s">
        <v>2505</v>
      </c>
      <c r="B2415">
        <v>2024</v>
      </c>
      <c r="C2415" s="9">
        <v>43295</v>
      </c>
      <c r="D2415" t="s">
        <v>20</v>
      </c>
      <c r="E2415" t="s">
        <v>8</v>
      </c>
      <c r="F2415">
        <v>0</v>
      </c>
    </row>
    <row r="2416" spans="1:6">
      <c r="A2416" t="s">
        <v>2506</v>
      </c>
      <c r="B2416">
        <v>2024</v>
      </c>
      <c r="C2416" s="9">
        <v>43296</v>
      </c>
      <c r="D2416" t="s">
        <v>22</v>
      </c>
      <c r="E2416" t="s">
        <v>8</v>
      </c>
      <c r="F2416">
        <v>0</v>
      </c>
    </row>
    <row r="2417" spans="1:6">
      <c r="A2417" t="s">
        <v>2507</v>
      </c>
      <c r="B2417">
        <v>2024</v>
      </c>
      <c r="C2417" s="9">
        <v>43297</v>
      </c>
      <c r="D2417" t="s">
        <v>24</v>
      </c>
      <c r="E2417" t="s">
        <v>8</v>
      </c>
      <c r="F2417">
        <v>0</v>
      </c>
    </row>
    <row r="2418" spans="1:6">
      <c r="A2418" t="s">
        <v>2508</v>
      </c>
      <c r="B2418">
        <v>2024</v>
      </c>
      <c r="C2418" s="9">
        <v>43298</v>
      </c>
      <c r="D2418" t="s">
        <v>7</v>
      </c>
      <c r="E2418" t="s">
        <v>8</v>
      </c>
      <c r="F2418">
        <v>0</v>
      </c>
    </row>
    <row r="2419" spans="1:6">
      <c r="A2419" t="s">
        <v>2509</v>
      </c>
      <c r="B2419">
        <v>2024</v>
      </c>
      <c r="C2419" s="9">
        <v>43299</v>
      </c>
      <c r="D2419" t="s">
        <v>10</v>
      </c>
      <c r="E2419" t="s">
        <v>8</v>
      </c>
      <c r="F2419">
        <v>0</v>
      </c>
    </row>
    <row r="2420" spans="1:6">
      <c r="A2420" t="s">
        <v>2510</v>
      </c>
      <c r="B2420">
        <v>2024</v>
      </c>
      <c r="C2420" s="9">
        <v>43300</v>
      </c>
      <c r="D2420" t="s">
        <v>13</v>
      </c>
      <c r="E2420" t="s">
        <v>8</v>
      </c>
      <c r="F2420">
        <v>0</v>
      </c>
    </row>
    <row r="2421" spans="1:6">
      <c r="A2421" t="s">
        <v>2511</v>
      </c>
      <c r="B2421">
        <v>2024</v>
      </c>
      <c r="C2421" s="9">
        <v>43301</v>
      </c>
      <c r="D2421" t="s">
        <v>18</v>
      </c>
      <c r="E2421" t="s">
        <v>8</v>
      </c>
      <c r="F2421">
        <v>0</v>
      </c>
    </row>
    <row r="2422" spans="1:6">
      <c r="A2422" t="s">
        <v>2512</v>
      </c>
      <c r="B2422">
        <v>2024</v>
      </c>
      <c r="C2422" s="9">
        <v>43302</v>
      </c>
      <c r="D2422" t="s">
        <v>20</v>
      </c>
      <c r="E2422" t="s">
        <v>8</v>
      </c>
      <c r="F2422">
        <v>0</v>
      </c>
    </row>
    <row r="2423" spans="1:6">
      <c r="A2423" t="s">
        <v>2513</v>
      </c>
      <c r="B2423">
        <v>2024</v>
      </c>
      <c r="C2423" s="9">
        <v>43303</v>
      </c>
      <c r="D2423" t="s">
        <v>22</v>
      </c>
      <c r="E2423" t="s">
        <v>8</v>
      </c>
      <c r="F2423">
        <v>0</v>
      </c>
    </row>
    <row r="2424" spans="1:6">
      <c r="A2424" t="s">
        <v>2514</v>
      </c>
      <c r="B2424">
        <v>2024</v>
      </c>
      <c r="C2424" s="9">
        <v>43304</v>
      </c>
      <c r="D2424" t="s">
        <v>24</v>
      </c>
      <c r="E2424" t="s">
        <v>8</v>
      </c>
      <c r="F2424">
        <v>0</v>
      </c>
    </row>
    <row r="2425" spans="1:6">
      <c r="A2425" t="s">
        <v>2515</v>
      </c>
      <c r="B2425">
        <v>2024</v>
      </c>
      <c r="C2425" s="9">
        <v>43305</v>
      </c>
      <c r="D2425" t="s">
        <v>7</v>
      </c>
      <c r="E2425" t="s">
        <v>8</v>
      </c>
      <c r="F2425">
        <v>0</v>
      </c>
    </row>
    <row r="2426" spans="1:6">
      <c r="A2426" t="s">
        <v>2516</v>
      </c>
      <c r="B2426">
        <v>2024</v>
      </c>
      <c r="C2426" s="9">
        <v>43306</v>
      </c>
      <c r="D2426" t="s">
        <v>10</v>
      </c>
      <c r="E2426" t="s">
        <v>8</v>
      </c>
      <c r="F2426">
        <v>0</v>
      </c>
    </row>
    <row r="2427" spans="1:6">
      <c r="A2427" t="s">
        <v>2517</v>
      </c>
      <c r="B2427">
        <v>2024</v>
      </c>
      <c r="C2427" s="9">
        <v>43307</v>
      </c>
      <c r="D2427" t="s">
        <v>13</v>
      </c>
      <c r="E2427" t="s">
        <v>8</v>
      </c>
      <c r="F2427">
        <v>0</v>
      </c>
    </row>
    <row r="2428" spans="1:6">
      <c r="A2428" t="s">
        <v>2518</v>
      </c>
      <c r="B2428">
        <v>2024</v>
      </c>
      <c r="C2428" s="9">
        <v>43308</v>
      </c>
      <c r="D2428" t="s">
        <v>18</v>
      </c>
      <c r="E2428" t="s">
        <v>8</v>
      </c>
      <c r="F2428">
        <v>0</v>
      </c>
    </row>
    <row r="2429" spans="1:6">
      <c r="A2429" t="s">
        <v>2519</v>
      </c>
      <c r="B2429">
        <v>2024</v>
      </c>
      <c r="C2429" s="9">
        <v>43309</v>
      </c>
      <c r="D2429" t="s">
        <v>20</v>
      </c>
      <c r="E2429" t="s">
        <v>8</v>
      </c>
      <c r="F2429">
        <v>0</v>
      </c>
    </row>
    <row r="2430" spans="1:6">
      <c r="A2430" t="s">
        <v>2520</v>
      </c>
      <c r="B2430">
        <v>2024</v>
      </c>
      <c r="C2430" s="9">
        <v>43310</v>
      </c>
      <c r="D2430" t="s">
        <v>22</v>
      </c>
      <c r="E2430" t="s">
        <v>8</v>
      </c>
      <c r="F2430">
        <v>0</v>
      </c>
    </row>
    <row r="2431" spans="1:6">
      <c r="A2431" t="s">
        <v>2521</v>
      </c>
      <c r="B2431">
        <v>2024</v>
      </c>
      <c r="C2431" s="9">
        <v>43311</v>
      </c>
      <c r="D2431" t="s">
        <v>24</v>
      </c>
      <c r="E2431" t="s">
        <v>8</v>
      </c>
      <c r="F2431">
        <v>0</v>
      </c>
    </row>
    <row r="2432" spans="1:6">
      <c r="A2432" t="s">
        <v>2522</v>
      </c>
      <c r="B2432">
        <v>2024</v>
      </c>
      <c r="C2432" s="9">
        <v>43312</v>
      </c>
      <c r="D2432" t="s">
        <v>7</v>
      </c>
      <c r="E2432" t="s">
        <v>8</v>
      </c>
      <c r="F2432">
        <v>0</v>
      </c>
    </row>
    <row r="2433" spans="1:6">
      <c r="A2433" t="s">
        <v>2523</v>
      </c>
      <c r="B2433">
        <v>2024</v>
      </c>
      <c r="C2433" s="9">
        <v>43313</v>
      </c>
      <c r="D2433" t="s">
        <v>10</v>
      </c>
      <c r="E2433" t="s">
        <v>8</v>
      </c>
      <c r="F2433">
        <v>0</v>
      </c>
    </row>
    <row r="2434" spans="1:6">
      <c r="A2434" t="s">
        <v>2524</v>
      </c>
      <c r="B2434">
        <v>2024</v>
      </c>
      <c r="C2434" s="9">
        <v>43314</v>
      </c>
      <c r="D2434" t="s">
        <v>13</v>
      </c>
      <c r="E2434" t="s">
        <v>234</v>
      </c>
      <c r="F2434">
        <v>0</v>
      </c>
    </row>
    <row r="2435" spans="1:6">
      <c r="A2435" t="s">
        <v>2525</v>
      </c>
      <c r="B2435">
        <v>2024</v>
      </c>
      <c r="C2435" s="9">
        <v>43315</v>
      </c>
      <c r="D2435" t="s">
        <v>18</v>
      </c>
      <c r="E2435" t="s">
        <v>234</v>
      </c>
      <c r="F2435">
        <v>0</v>
      </c>
    </row>
    <row r="2436" spans="1:6">
      <c r="A2436" t="s">
        <v>2526</v>
      </c>
      <c r="B2436">
        <v>2024</v>
      </c>
      <c r="C2436" s="9">
        <v>43316</v>
      </c>
      <c r="D2436" t="s">
        <v>20</v>
      </c>
      <c r="E2436" t="s">
        <v>234</v>
      </c>
      <c r="F2436">
        <v>0</v>
      </c>
    </row>
    <row r="2437" spans="1:6">
      <c r="A2437" t="s">
        <v>2527</v>
      </c>
      <c r="B2437">
        <v>2024</v>
      </c>
      <c r="C2437" s="9">
        <v>43317</v>
      </c>
      <c r="D2437" t="s">
        <v>22</v>
      </c>
      <c r="E2437" t="s">
        <v>234</v>
      </c>
      <c r="F2437">
        <v>0</v>
      </c>
    </row>
    <row r="2438" spans="1:6">
      <c r="A2438" t="s">
        <v>2528</v>
      </c>
      <c r="B2438">
        <v>2024</v>
      </c>
      <c r="C2438" s="9">
        <v>43318</v>
      </c>
      <c r="D2438" t="s">
        <v>24</v>
      </c>
      <c r="E2438" t="s">
        <v>234</v>
      </c>
      <c r="F2438">
        <v>0</v>
      </c>
    </row>
    <row r="2439" spans="1:6">
      <c r="A2439" t="s">
        <v>2529</v>
      </c>
      <c r="B2439">
        <v>2024</v>
      </c>
      <c r="C2439" s="9">
        <v>43319</v>
      </c>
      <c r="D2439" t="s">
        <v>7</v>
      </c>
      <c r="E2439" t="s">
        <v>234</v>
      </c>
      <c r="F2439">
        <v>0</v>
      </c>
    </row>
    <row r="2440" spans="1:6">
      <c r="A2440" t="s">
        <v>2530</v>
      </c>
      <c r="B2440">
        <v>2024</v>
      </c>
      <c r="C2440" s="9">
        <v>43320</v>
      </c>
      <c r="D2440" t="s">
        <v>10</v>
      </c>
      <c r="E2440" t="s">
        <v>234</v>
      </c>
      <c r="F2440">
        <v>0</v>
      </c>
    </row>
    <row r="2441" spans="1:6">
      <c r="A2441" t="s">
        <v>2531</v>
      </c>
      <c r="B2441">
        <v>2024</v>
      </c>
      <c r="C2441" s="9">
        <v>43321</v>
      </c>
      <c r="D2441" t="s">
        <v>13</v>
      </c>
      <c r="E2441" t="s">
        <v>234</v>
      </c>
      <c r="F2441">
        <v>0</v>
      </c>
    </row>
    <row r="2442" spans="1:6">
      <c r="A2442" t="s">
        <v>2532</v>
      </c>
      <c r="B2442">
        <v>2024</v>
      </c>
      <c r="C2442" s="9">
        <v>43322</v>
      </c>
      <c r="D2442" t="s">
        <v>18</v>
      </c>
      <c r="E2442" t="s">
        <v>234</v>
      </c>
      <c r="F2442">
        <v>0</v>
      </c>
    </row>
    <row r="2443" spans="1:6">
      <c r="A2443" t="s">
        <v>2533</v>
      </c>
      <c r="B2443">
        <v>2024</v>
      </c>
      <c r="C2443" s="9">
        <v>43323</v>
      </c>
      <c r="D2443" t="s">
        <v>20</v>
      </c>
      <c r="E2443" t="s">
        <v>234</v>
      </c>
      <c r="F2443">
        <v>0</v>
      </c>
    </row>
    <row r="2444" spans="1:6">
      <c r="A2444" t="s">
        <v>2534</v>
      </c>
      <c r="B2444">
        <v>2024</v>
      </c>
      <c r="C2444" s="9">
        <v>43324</v>
      </c>
      <c r="D2444" t="s">
        <v>22</v>
      </c>
      <c r="E2444" t="s">
        <v>234</v>
      </c>
      <c r="F2444">
        <v>0</v>
      </c>
    </row>
    <row r="2445" spans="1:6">
      <c r="A2445" t="s">
        <v>2535</v>
      </c>
      <c r="B2445">
        <v>2024</v>
      </c>
      <c r="C2445" s="9">
        <v>43325</v>
      </c>
      <c r="D2445" t="s">
        <v>24</v>
      </c>
      <c r="E2445" t="s">
        <v>234</v>
      </c>
      <c r="F2445">
        <v>0</v>
      </c>
    </row>
    <row r="2446" spans="1:6">
      <c r="A2446" t="s">
        <v>2536</v>
      </c>
      <c r="B2446">
        <v>2024</v>
      </c>
      <c r="C2446" s="9">
        <v>43326</v>
      </c>
      <c r="D2446" t="s">
        <v>7</v>
      </c>
      <c r="E2446" t="s">
        <v>234</v>
      </c>
      <c r="F2446">
        <v>0</v>
      </c>
    </row>
    <row r="2447" spans="1:6">
      <c r="A2447" t="s">
        <v>2537</v>
      </c>
      <c r="B2447">
        <v>2024</v>
      </c>
      <c r="C2447" s="9">
        <v>43327</v>
      </c>
      <c r="D2447" t="s">
        <v>10</v>
      </c>
      <c r="E2447" t="s">
        <v>234</v>
      </c>
      <c r="F2447">
        <v>0</v>
      </c>
    </row>
    <row r="2448" spans="1:6">
      <c r="A2448" t="s">
        <v>2538</v>
      </c>
      <c r="B2448">
        <v>2024</v>
      </c>
      <c r="C2448" s="9">
        <v>43328</v>
      </c>
      <c r="D2448" t="s">
        <v>13</v>
      </c>
      <c r="E2448" t="s">
        <v>234</v>
      </c>
      <c r="F2448">
        <v>0</v>
      </c>
    </row>
    <row r="2449" spans="1:6">
      <c r="A2449" t="s">
        <v>2539</v>
      </c>
      <c r="B2449">
        <v>2024</v>
      </c>
      <c r="C2449" s="9">
        <v>43329</v>
      </c>
      <c r="D2449" t="s">
        <v>18</v>
      </c>
      <c r="E2449" t="s">
        <v>234</v>
      </c>
      <c r="F2449">
        <v>0</v>
      </c>
    </row>
    <row r="2450" spans="1:6">
      <c r="A2450" t="s">
        <v>2540</v>
      </c>
      <c r="B2450">
        <v>2024</v>
      </c>
      <c r="C2450" s="9">
        <v>43330</v>
      </c>
      <c r="D2450" t="s">
        <v>20</v>
      </c>
      <c r="E2450" t="s">
        <v>234</v>
      </c>
      <c r="F2450">
        <v>0</v>
      </c>
    </row>
    <row r="2451" spans="1:6">
      <c r="A2451" t="s">
        <v>2541</v>
      </c>
      <c r="B2451">
        <v>2024</v>
      </c>
      <c r="C2451" s="9">
        <v>43331</v>
      </c>
      <c r="D2451" t="s">
        <v>22</v>
      </c>
      <c r="E2451" t="s">
        <v>234</v>
      </c>
      <c r="F2451">
        <v>0</v>
      </c>
    </row>
    <row r="2452" spans="1:6">
      <c r="A2452" t="s">
        <v>2542</v>
      </c>
      <c r="B2452">
        <v>2024</v>
      </c>
      <c r="C2452" s="9">
        <v>43332</v>
      </c>
      <c r="D2452" t="s">
        <v>24</v>
      </c>
      <c r="E2452" t="s">
        <v>234</v>
      </c>
      <c r="F2452">
        <v>0</v>
      </c>
    </row>
    <row r="2453" spans="1:6">
      <c r="A2453" t="s">
        <v>2543</v>
      </c>
      <c r="B2453">
        <v>2024</v>
      </c>
      <c r="C2453" s="9">
        <v>43333</v>
      </c>
      <c r="D2453" t="s">
        <v>7</v>
      </c>
      <c r="E2453" t="s">
        <v>234</v>
      </c>
      <c r="F2453">
        <v>0</v>
      </c>
    </row>
    <row r="2454" spans="1:6">
      <c r="A2454" t="s">
        <v>2544</v>
      </c>
      <c r="B2454">
        <v>2024</v>
      </c>
      <c r="C2454" s="9">
        <v>43334</v>
      </c>
      <c r="D2454" t="s">
        <v>10</v>
      </c>
      <c r="E2454" t="s">
        <v>234</v>
      </c>
      <c r="F2454">
        <v>0</v>
      </c>
    </row>
    <row r="2455" spans="1:6">
      <c r="A2455" t="s">
        <v>2545</v>
      </c>
      <c r="B2455">
        <v>2024</v>
      </c>
      <c r="C2455" s="9">
        <v>43335</v>
      </c>
      <c r="D2455" t="s">
        <v>13</v>
      </c>
      <c r="E2455" t="s">
        <v>234</v>
      </c>
      <c r="F2455">
        <v>0</v>
      </c>
    </row>
    <row r="2456" spans="1:6">
      <c r="A2456" t="s">
        <v>2546</v>
      </c>
      <c r="B2456">
        <v>2024</v>
      </c>
      <c r="C2456" s="9">
        <v>43336</v>
      </c>
      <c r="D2456" t="s">
        <v>18</v>
      </c>
      <c r="E2456" t="s">
        <v>234</v>
      </c>
      <c r="F2456">
        <v>0</v>
      </c>
    </row>
    <row r="2457" spans="1:6">
      <c r="A2457" t="s">
        <v>2547</v>
      </c>
      <c r="B2457">
        <v>2024</v>
      </c>
      <c r="C2457" s="9">
        <v>43337</v>
      </c>
      <c r="D2457" t="s">
        <v>20</v>
      </c>
      <c r="E2457" t="s">
        <v>234</v>
      </c>
      <c r="F2457">
        <v>0</v>
      </c>
    </row>
    <row r="2458" spans="1:6">
      <c r="A2458" t="s">
        <v>2548</v>
      </c>
      <c r="B2458">
        <v>2024</v>
      </c>
      <c r="C2458" s="9">
        <v>43338</v>
      </c>
      <c r="D2458" t="s">
        <v>22</v>
      </c>
      <c r="E2458" t="s">
        <v>234</v>
      </c>
      <c r="F2458">
        <v>0</v>
      </c>
    </row>
    <row r="2459" spans="1:6">
      <c r="A2459" t="s">
        <v>2549</v>
      </c>
      <c r="B2459">
        <v>2024</v>
      </c>
      <c r="C2459" s="9">
        <v>43339</v>
      </c>
      <c r="D2459" t="s">
        <v>24</v>
      </c>
      <c r="E2459" t="s">
        <v>234</v>
      </c>
      <c r="F2459">
        <v>0</v>
      </c>
    </row>
    <row r="2460" spans="1:6">
      <c r="A2460" t="s">
        <v>2550</v>
      </c>
      <c r="B2460">
        <v>2024</v>
      </c>
      <c r="C2460" s="9">
        <v>43340</v>
      </c>
      <c r="D2460" t="s">
        <v>7</v>
      </c>
      <c r="E2460" t="s">
        <v>234</v>
      </c>
      <c r="F2460">
        <v>0</v>
      </c>
    </row>
    <row r="2461" spans="1:6">
      <c r="A2461" t="s">
        <v>2551</v>
      </c>
      <c r="B2461">
        <v>2024</v>
      </c>
      <c r="C2461" s="9">
        <v>43341</v>
      </c>
      <c r="D2461" t="s">
        <v>10</v>
      </c>
      <c r="E2461" t="s">
        <v>234</v>
      </c>
      <c r="F2461">
        <v>0</v>
      </c>
    </row>
    <row r="2462" spans="1:6">
      <c r="A2462" t="s">
        <v>2552</v>
      </c>
      <c r="B2462">
        <v>2024</v>
      </c>
      <c r="C2462" s="9">
        <v>43342</v>
      </c>
      <c r="D2462" t="s">
        <v>13</v>
      </c>
      <c r="E2462" t="s">
        <v>234</v>
      </c>
      <c r="F2462">
        <v>0</v>
      </c>
    </row>
    <row r="2463" spans="1:6">
      <c r="A2463" t="s">
        <v>2553</v>
      </c>
      <c r="B2463">
        <v>2024</v>
      </c>
      <c r="C2463" s="9">
        <v>43343</v>
      </c>
      <c r="D2463" t="s">
        <v>18</v>
      </c>
      <c r="E2463" t="s">
        <v>234</v>
      </c>
      <c r="F2463">
        <v>0</v>
      </c>
    </row>
    <row r="2464" spans="1:6">
      <c r="A2464" t="s">
        <v>2554</v>
      </c>
      <c r="B2464">
        <v>2024</v>
      </c>
      <c r="C2464" s="9">
        <v>43344</v>
      </c>
      <c r="D2464" t="s">
        <v>20</v>
      </c>
      <c r="E2464" t="s">
        <v>234</v>
      </c>
      <c r="F2464">
        <v>0</v>
      </c>
    </row>
    <row r="2465" spans="1:6">
      <c r="A2465" t="s">
        <v>2555</v>
      </c>
      <c r="B2465">
        <v>2024</v>
      </c>
      <c r="C2465" s="9">
        <v>43345</v>
      </c>
      <c r="D2465" t="s">
        <v>22</v>
      </c>
      <c r="E2465" t="s">
        <v>234</v>
      </c>
      <c r="F2465">
        <v>0</v>
      </c>
    </row>
    <row r="2466" spans="1:6">
      <c r="A2466" t="s">
        <v>2556</v>
      </c>
      <c r="B2466">
        <v>2024</v>
      </c>
      <c r="C2466" s="9">
        <v>43346</v>
      </c>
      <c r="D2466" t="s">
        <v>24</v>
      </c>
      <c r="E2466" t="s">
        <v>234</v>
      </c>
      <c r="F2466">
        <v>0</v>
      </c>
    </row>
    <row r="2467" spans="1:6">
      <c r="A2467" t="s">
        <v>2557</v>
      </c>
      <c r="B2467">
        <v>2024</v>
      </c>
      <c r="C2467" s="9">
        <v>43347</v>
      </c>
      <c r="D2467" t="s">
        <v>7</v>
      </c>
      <c r="E2467" t="s">
        <v>234</v>
      </c>
      <c r="F2467">
        <v>0</v>
      </c>
    </row>
    <row r="2468" spans="1:6">
      <c r="A2468" t="s">
        <v>2558</v>
      </c>
      <c r="B2468">
        <v>2024</v>
      </c>
      <c r="C2468" s="9">
        <v>43348</v>
      </c>
      <c r="D2468" t="s">
        <v>10</v>
      </c>
      <c r="E2468" t="s">
        <v>234</v>
      </c>
      <c r="F2468">
        <v>0</v>
      </c>
    </row>
    <row r="2469" spans="1:6">
      <c r="A2469" t="s">
        <v>2559</v>
      </c>
      <c r="B2469">
        <v>2024</v>
      </c>
      <c r="C2469" s="9">
        <v>43349</v>
      </c>
      <c r="D2469" t="s">
        <v>13</v>
      </c>
      <c r="E2469" t="s">
        <v>265</v>
      </c>
      <c r="F2469">
        <v>0</v>
      </c>
    </row>
    <row r="2470" spans="1:6">
      <c r="A2470" t="s">
        <v>2560</v>
      </c>
      <c r="B2470">
        <v>2024</v>
      </c>
      <c r="C2470" s="9">
        <v>43350</v>
      </c>
      <c r="D2470" t="s">
        <v>18</v>
      </c>
      <c r="E2470" t="s">
        <v>265</v>
      </c>
      <c r="F2470">
        <v>0</v>
      </c>
    </row>
    <row r="2471" spans="1:6">
      <c r="A2471" t="s">
        <v>2561</v>
      </c>
      <c r="B2471">
        <v>2024</v>
      </c>
      <c r="C2471" s="9">
        <v>43351</v>
      </c>
      <c r="D2471" t="s">
        <v>20</v>
      </c>
      <c r="E2471" t="s">
        <v>265</v>
      </c>
      <c r="F2471">
        <v>0</v>
      </c>
    </row>
    <row r="2472" spans="1:6">
      <c r="A2472" t="s">
        <v>2562</v>
      </c>
      <c r="B2472">
        <v>2024</v>
      </c>
      <c r="C2472" s="9">
        <v>43352</v>
      </c>
      <c r="D2472" t="s">
        <v>22</v>
      </c>
      <c r="E2472" t="s">
        <v>265</v>
      </c>
      <c r="F2472">
        <v>0</v>
      </c>
    </row>
    <row r="2473" spans="1:6">
      <c r="A2473" t="s">
        <v>2563</v>
      </c>
      <c r="B2473">
        <v>2024</v>
      </c>
      <c r="C2473" s="9">
        <v>43353</v>
      </c>
      <c r="D2473" t="s">
        <v>24</v>
      </c>
      <c r="E2473" t="s">
        <v>265</v>
      </c>
      <c r="F2473">
        <v>0</v>
      </c>
    </row>
    <row r="2474" spans="1:6">
      <c r="A2474" t="s">
        <v>2564</v>
      </c>
      <c r="B2474">
        <v>2024</v>
      </c>
      <c r="C2474" s="9">
        <v>43354</v>
      </c>
      <c r="D2474" t="s">
        <v>7</v>
      </c>
      <c r="E2474" t="s">
        <v>265</v>
      </c>
      <c r="F2474">
        <v>0</v>
      </c>
    </row>
    <row r="2475" spans="1:6">
      <c r="A2475" t="s">
        <v>2565</v>
      </c>
      <c r="B2475">
        <v>2024</v>
      </c>
      <c r="C2475" s="9">
        <v>43355</v>
      </c>
      <c r="D2475" t="s">
        <v>10</v>
      </c>
      <c r="E2475" t="s">
        <v>265</v>
      </c>
      <c r="F2475">
        <v>0</v>
      </c>
    </row>
    <row r="2476" spans="1:6">
      <c r="A2476" t="s">
        <v>2566</v>
      </c>
      <c r="B2476">
        <v>2024</v>
      </c>
      <c r="C2476" s="9">
        <v>43356</v>
      </c>
      <c r="D2476" t="s">
        <v>13</v>
      </c>
      <c r="E2476" t="s">
        <v>265</v>
      </c>
      <c r="F2476">
        <v>0</v>
      </c>
    </row>
    <row r="2477" spans="1:6">
      <c r="A2477" t="s">
        <v>2567</v>
      </c>
      <c r="B2477">
        <v>2024</v>
      </c>
      <c r="C2477" s="9">
        <v>43357</v>
      </c>
      <c r="D2477" t="s">
        <v>18</v>
      </c>
      <c r="E2477" t="s">
        <v>265</v>
      </c>
      <c r="F2477">
        <v>0</v>
      </c>
    </row>
    <row r="2478" spans="1:6">
      <c r="A2478" t="s">
        <v>2568</v>
      </c>
      <c r="B2478">
        <v>2024</v>
      </c>
      <c r="C2478" s="9">
        <v>43358</v>
      </c>
      <c r="D2478" t="s">
        <v>20</v>
      </c>
      <c r="E2478" t="s">
        <v>265</v>
      </c>
      <c r="F2478">
        <v>0</v>
      </c>
    </row>
    <row r="2479" spans="1:6">
      <c r="A2479" t="s">
        <v>2569</v>
      </c>
      <c r="B2479">
        <v>2024</v>
      </c>
      <c r="C2479" s="9">
        <v>43359</v>
      </c>
      <c r="D2479" t="s">
        <v>22</v>
      </c>
      <c r="E2479" t="s">
        <v>265</v>
      </c>
      <c r="F2479">
        <v>0</v>
      </c>
    </row>
    <row r="2480" spans="1:6">
      <c r="A2480" t="s">
        <v>2570</v>
      </c>
      <c r="B2480">
        <v>2024</v>
      </c>
      <c r="C2480" s="9">
        <v>43360</v>
      </c>
      <c r="D2480" t="s">
        <v>24</v>
      </c>
      <c r="E2480" t="s">
        <v>265</v>
      </c>
      <c r="F2480">
        <v>0</v>
      </c>
    </row>
    <row r="2481" spans="1:6">
      <c r="A2481" t="s">
        <v>2571</v>
      </c>
      <c r="B2481">
        <v>2024</v>
      </c>
      <c r="C2481" s="9">
        <v>43361</v>
      </c>
      <c r="D2481" t="s">
        <v>7</v>
      </c>
      <c r="E2481" t="s">
        <v>265</v>
      </c>
      <c r="F2481">
        <v>0</v>
      </c>
    </row>
    <row r="2482" spans="1:6">
      <c r="A2482" t="s">
        <v>2572</v>
      </c>
      <c r="B2482">
        <v>2024</v>
      </c>
      <c r="C2482" s="9">
        <v>43362</v>
      </c>
      <c r="D2482" t="s">
        <v>10</v>
      </c>
      <c r="E2482" t="s">
        <v>265</v>
      </c>
      <c r="F2482">
        <v>0</v>
      </c>
    </row>
    <row r="2483" spans="1:6">
      <c r="A2483" t="s">
        <v>2573</v>
      </c>
      <c r="B2483">
        <v>2024</v>
      </c>
      <c r="C2483" s="9">
        <v>43363</v>
      </c>
      <c r="D2483" t="s">
        <v>13</v>
      </c>
      <c r="E2483" t="s">
        <v>265</v>
      </c>
      <c r="F2483">
        <v>0</v>
      </c>
    </row>
    <row r="2484" spans="1:6">
      <c r="A2484" t="s">
        <v>2574</v>
      </c>
      <c r="B2484">
        <v>2024</v>
      </c>
      <c r="C2484" s="9">
        <v>43364</v>
      </c>
      <c r="D2484" t="s">
        <v>18</v>
      </c>
      <c r="E2484" t="s">
        <v>265</v>
      </c>
      <c r="F2484">
        <v>0</v>
      </c>
    </row>
    <row r="2485" spans="1:6">
      <c r="A2485" t="s">
        <v>2575</v>
      </c>
      <c r="B2485">
        <v>2024</v>
      </c>
      <c r="C2485" s="9">
        <v>43365</v>
      </c>
      <c r="D2485" t="s">
        <v>20</v>
      </c>
      <c r="E2485" t="s">
        <v>265</v>
      </c>
      <c r="F2485">
        <v>0</v>
      </c>
    </row>
    <row r="2486" spans="1:6">
      <c r="A2486" t="s">
        <v>2576</v>
      </c>
      <c r="B2486">
        <v>2024</v>
      </c>
      <c r="C2486" s="9">
        <v>43366</v>
      </c>
      <c r="D2486" t="s">
        <v>22</v>
      </c>
      <c r="E2486" t="s">
        <v>265</v>
      </c>
      <c r="F2486">
        <v>0</v>
      </c>
    </row>
    <row r="2487" spans="1:6">
      <c r="A2487" t="s">
        <v>2577</v>
      </c>
      <c r="B2487">
        <v>2024</v>
      </c>
      <c r="C2487" s="9">
        <v>43367</v>
      </c>
      <c r="D2487" t="s">
        <v>24</v>
      </c>
      <c r="E2487" t="s">
        <v>265</v>
      </c>
      <c r="F2487">
        <v>0</v>
      </c>
    </row>
    <row r="2488" spans="1:6">
      <c r="A2488" t="s">
        <v>2578</v>
      </c>
      <c r="B2488">
        <v>2024</v>
      </c>
      <c r="C2488" s="9">
        <v>43368</v>
      </c>
      <c r="D2488" t="s">
        <v>7</v>
      </c>
      <c r="E2488" t="s">
        <v>265</v>
      </c>
      <c r="F2488">
        <v>0</v>
      </c>
    </row>
    <row r="2489" spans="1:6">
      <c r="A2489" t="s">
        <v>2579</v>
      </c>
      <c r="B2489">
        <v>2024</v>
      </c>
      <c r="C2489" s="9">
        <v>43369</v>
      </c>
      <c r="D2489" t="s">
        <v>10</v>
      </c>
      <c r="E2489" t="s">
        <v>265</v>
      </c>
      <c r="F2489">
        <v>0</v>
      </c>
    </row>
    <row r="2490" spans="1:6">
      <c r="A2490" t="s">
        <v>2580</v>
      </c>
      <c r="B2490">
        <v>2024</v>
      </c>
      <c r="C2490" s="9">
        <v>43370</v>
      </c>
      <c r="D2490" t="s">
        <v>13</v>
      </c>
      <c r="E2490" t="s">
        <v>265</v>
      </c>
      <c r="F2490">
        <v>0</v>
      </c>
    </row>
    <row r="2491" spans="1:6">
      <c r="A2491" t="s">
        <v>2581</v>
      </c>
      <c r="B2491">
        <v>2024</v>
      </c>
      <c r="C2491" s="9">
        <v>43371</v>
      </c>
      <c r="D2491" t="s">
        <v>18</v>
      </c>
      <c r="E2491" t="s">
        <v>265</v>
      </c>
      <c r="F2491">
        <v>0</v>
      </c>
    </row>
    <row r="2492" spans="1:6">
      <c r="A2492" t="s">
        <v>2582</v>
      </c>
      <c r="B2492">
        <v>2024</v>
      </c>
      <c r="C2492" s="9">
        <v>43372</v>
      </c>
      <c r="D2492" t="s">
        <v>20</v>
      </c>
      <c r="E2492" t="s">
        <v>265</v>
      </c>
      <c r="F2492">
        <v>0</v>
      </c>
    </row>
    <row r="2493" spans="1:6">
      <c r="A2493" t="s">
        <v>2583</v>
      </c>
      <c r="B2493">
        <v>2024</v>
      </c>
      <c r="C2493" s="9">
        <v>43373</v>
      </c>
      <c r="D2493" t="s">
        <v>22</v>
      </c>
      <c r="E2493" t="s">
        <v>265</v>
      </c>
      <c r="F2493">
        <v>0</v>
      </c>
    </row>
    <row r="2494" spans="1:6">
      <c r="A2494" t="s">
        <v>2584</v>
      </c>
      <c r="B2494">
        <v>2024</v>
      </c>
      <c r="C2494" s="9">
        <v>43374</v>
      </c>
      <c r="D2494" t="s">
        <v>24</v>
      </c>
      <c r="E2494" t="s">
        <v>265</v>
      </c>
      <c r="F2494">
        <v>0</v>
      </c>
    </row>
    <row r="2495" spans="1:6">
      <c r="A2495" t="s">
        <v>2585</v>
      </c>
      <c r="B2495">
        <v>2024</v>
      </c>
      <c r="C2495" s="9">
        <v>43375</v>
      </c>
      <c r="D2495" t="s">
        <v>7</v>
      </c>
      <c r="E2495" t="s">
        <v>265</v>
      </c>
      <c r="F2495">
        <v>0</v>
      </c>
    </row>
    <row r="2496" spans="1:6">
      <c r="A2496" t="s">
        <v>2586</v>
      </c>
      <c r="B2496">
        <v>2018</v>
      </c>
      <c r="C2496" s="9">
        <v>43402</v>
      </c>
      <c r="D2496" t="s">
        <v>24</v>
      </c>
      <c r="E2496" t="s">
        <v>328</v>
      </c>
      <c r="F2496">
        <v>0</v>
      </c>
    </row>
    <row r="2497" spans="1:6">
      <c r="A2497" t="s">
        <v>2587</v>
      </c>
      <c r="B2497">
        <v>2024</v>
      </c>
      <c r="C2497" s="9">
        <v>43412</v>
      </c>
      <c r="D2497" t="s">
        <v>13</v>
      </c>
      <c r="E2497" t="s">
        <v>328</v>
      </c>
      <c r="F2497">
        <v>0</v>
      </c>
    </row>
    <row r="2498" spans="1:6">
      <c r="A2498" t="s">
        <v>2588</v>
      </c>
      <c r="B2498">
        <v>2024</v>
      </c>
      <c r="C2498" s="9">
        <v>43413</v>
      </c>
      <c r="D2498" t="s">
        <v>18</v>
      </c>
      <c r="E2498" t="s">
        <v>328</v>
      </c>
      <c r="F2498">
        <v>0</v>
      </c>
    </row>
    <row r="2499" spans="1:6">
      <c r="A2499" t="s">
        <v>2589</v>
      </c>
      <c r="B2499">
        <v>2024</v>
      </c>
      <c r="C2499" s="9">
        <v>43414</v>
      </c>
      <c r="D2499" t="s">
        <v>20</v>
      </c>
      <c r="E2499" t="s">
        <v>328</v>
      </c>
      <c r="F2499">
        <v>0</v>
      </c>
    </row>
    <row r="2500" spans="1:6">
      <c r="A2500" t="s">
        <v>2590</v>
      </c>
      <c r="B2500">
        <v>2024</v>
      </c>
      <c r="C2500" s="9">
        <v>43415</v>
      </c>
      <c r="D2500" t="s">
        <v>22</v>
      </c>
      <c r="E2500" t="s">
        <v>328</v>
      </c>
      <c r="F2500">
        <v>0</v>
      </c>
    </row>
    <row r="2501" spans="1:6">
      <c r="A2501" t="s">
        <v>2591</v>
      </c>
      <c r="B2501">
        <v>2024</v>
      </c>
      <c r="C2501" s="9">
        <v>43416</v>
      </c>
      <c r="D2501" t="s">
        <v>24</v>
      </c>
      <c r="E2501" t="s">
        <v>328</v>
      </c>
      <c r="F2501">
        <v>0</v>
      </c>
    </row>
    <row r="2502" spans="1:6">
      <c r="A2502" t="s">
        <v>2592</v>
      </c>
      <c r="B2502">
        <v>2024</v>
      </c>
      <c r="C2502" s="9">
        <v>43417</v>
      </c>
      <c r="D2502" t="s">
        <v>7</v>
      </c>
      <c r="E2502" t="s">
        <v>328</v>
      </c>
      <c r="F2502">
        <v>0</v>
      </c>
    </row>
    <row r="2503" spans="1:6">
      <c r="A2503" t="s">
        <v>2593</v>
      </c>
      <c r="B2503">
        <v>2024</v>
      </c>
      <c r="C2503" s="9">
        <v>43418</v>
      </c>
      <c r="D2503" t="s">
        <v>10</v>
      </c>
      <c r="E2503" t="s">
        <v>328</v>
      </c>
      <c r="F2503">
        <v>0</v>
      </c>
    </row>
    <row r="2504" spans="1:6">
      <c r="A2504" t="s">
        <v>2594</v>
      </c>
      <c r="B2504">
        <v>2024</v>
      </c>
      <c r="C2504" s="9">
        <v>43419</v>
      </c>
      <c r="D2504" t="s">
        <v>13</v>
      </c>
      <c r="E2504" t="s">
        <v>328</v>
      </c>
      <c r="F2504">
        <v>0</v>
      </c>
    </row>
    <row r="2505" spans="1:6">
      <c r="A2505" t="s">
        <v>2595</v>
      </c>
      <c r="B2505">
        <v>2024</v>
      </c>
      <c r="C2505" s="9">
        <v>43420</v>
      </c>
      <c r="D2505" t="s">
        <v>18</v>
      </c>
      <c r="E2505" t="s">
        <v>328</v>
      </c>
      <c r="F2505">
        <v>0</v>
      </c>
    </row>
    <row r="2506" spans="1:6">
      <c r="A2506" t="s">
        <v>2596</v>
      </c>
      <c r="B2506">
        <v>2024</v>
      </c>
      <c r="C2506" s="9">
        <v>43421</v>
      </c>
      <c r="D2506" t="s">
        <v>20</v>
      </c>
      <c r="E2506" t="s">
        <v>328</v>
      </c>
      <c r="F2506">
        <v>0</v>
      </c>
    </row>
    <row r="2507" spans="1:6">
      <c r="A2507" t="s">
        <v>2597</v>
      </c>
      <c r="B2507">
        <v>2024</v>
      </c>
      <c r="C2507" s="9">
        <v>43422</v>
      </c>
      <c r="D2507" t="s">
        <v>22</v>
      </c>
      <c r="E2507" t="s">
        <v>328</v>
      </c>
      <c r="F2507">
        <v>0</v>
      </c>
    </row>
    <row r="2508" spans="1:6">
      <c r="A2508" t="s">
        <v>2598</v>
      </c>
      <c r="B2508">
        <v>2024</v>
      </c>
      <c r="C2508" s="9">
        <v>43423</v>
      </c>
      <c r="D2508" t="s">
        <v>24</v>
      </c>
      <c r="E2508" t="s">
        <v>328</v>
      </c>
      <c r="F2508">
        <v>0</v>
      </c>
    </row>
    <row r="2509" spans="1:6">
      <c r="A2509" t="s">
        <v>2599</v>
      </c>
      <c r="B2509">
        <v>2024</v>
      </c>
      <c r="C2509" s="9">
        <v>43424</v>
      </c>
      <c r="D2509" t="s">
        <v>7</v>
      </c>
      <c r="E2509" t="s">
        <v>328</v>
      </c>
      <c r="F2509">
        <v>0</v>
      </c>
    </row>
    <row r="2510" spans="1:6">
      <c r="A2510" t="s">
        <v>2600</v>
      </c>
      <c r="B2510">
        <v>2024</v>
      </c>
      <c r="C2510" s="9">
        <v>43425</v>
      </c>
      <c r="D2510" t="s">
        <v>10</v>
      </c>
      <c r="E2510" t="s">
        <v>328</v>
      </c>
      <c r="F2510">
        <v>0</v>
      </c>
    </row>
    <row r="2511" spans="1:6">
      <c r="A2511" t="s">
        <v>2601</v>
      </c>
      <c r="B2511">
        <v>2024</v>
      </c>
      <c r="C2511" s="9">
        <v>43426</v>
      </c>
      <c r="D2511" t="s">
        <v>13</v>
      </c>
      <c r="E2511" t="s">
        <v>328</v>
      </c>
      <c r="F2511">
        <v>0</v>
      </c>
    </row>
    <row r="2512" spans="1:6">
      <c r="A2512" t="s">
        <v>2602</v>
      </c>
      <c r="B2512">
        <v>2024</v>
      </c>
      <c r="C2512" s="9">
        <v>43427</v>
      </c>
      <c r="D2512" t="s">
        <v>18</v>
      </c>
      <c r="E2512" t="s">
        <v>328</v>
      </c>
      <c r="F2512">
        <v>0</v>
      </c>
    </row>
    <row r="2513" spans="1:6">
      <c r="A2513" t="s">
        <v>2603</v>
      </c>
      <c r="B2513">
        <v>2024</v>
      </c>
      <c r="C2513" s="9">
        <v>43428</v>
      </c>
      <c r="D2513" t="s">
        <v>20</v>
      </c>
      <c r="E2513" t="s">
        <v>328</v>
      </c>
      <c r="F2513">
        <v>0</v>
      </c>
    </row>
    <row r="2514" spans="1:6">
      <c r="A2514" t="s">
        <v>2604</v>
      </c>
      <c r="B2514">
        <v>2024</v>
      </c>
      <c r="C2514" s="9">
        <v>43429</v>
      </c>
      <c r="D2514" t="s">
        <v>22</v>
      </c>
      <c r="E2514" t="s">
        <v>328</v>
      </c>
      <c r="F2514">
        <v>0</v>
      </c>
    </row>
    <row r="2515" spans="1:6">
      <c r="A2515" t="s">
        <v>2605</v>
      </c>
      <c r="B2515">
        <v>2024</v>
      </c>
      <c r="C2515" s="9">
        <v>43431</v>
      </c>
      <c r="D2515" t="s">
        <v>7</v>
      </c>
      <c r="E2515" t="s">
        <v>328</v>
      </c>
      <c r="F2515">
        <v>0</v>
      </c>
    </row>
    <row r="2516" spans="1:6">
      <c r="A2516" t="s">
        <v>2606</v>
      </c>
      <c r="B2516">
        <v>2024</v>
      </c>
      <c r="C2516" s="9">
        <v>43432</v>
      </c>
      <c r="D2516" t="s">
        <v>10</v>
      </c>
      <c r="E2516" t="s">
        <v>328</v>
      </c>
      <c r="F2516">
        <v>0</v>
      </c>
    </row>
    <row r="2517" spans="1:6">
      <c r="A2517" t="s">
        <v>2607</v>
      </c>
      <c r="B2517">
        <v>2024</v>
      </c>
      <c r="C2517" s="9">
        <v>43433</v>
      </c>
      <c r="D2517" t="s">
        <v>13</v>
      </c>
      <c r="E2517" t="s">
        <v>328</v>
      </c>
      <c r="F2517">
        <v>0</v>
      </c>
    </row>
    <row r="2518" spans="1:6">
      <c r="A2518" t="s">
        <v>2608</v>
      </c>
      <c r="B2518">
        <v>2024</v>
      </c>
      <c r="C2518" s="9">
        <v>43434</v>
      </c>
      <c r="D2518" t="s">
        <v>18</v>
      </c>
      <c r="E2518" t="s">
        <v>328</v>
      </c>
      <c r="F2518">
        <v>0</v>
      </c>
    </row>
    <row r="2519" spans="1:6">
      <c r="A2519" t="s">
        <v>2609</v>
      </c>
      <c r="B2519">
        <v>2024</v>
      </c>
      <c r="C2519" s="9">
        <v>43435</v>
      </c>
      <c r="D2519" t="s">
        <v>20</v>
      </c>
      <c r="E2519" t="s">
        <v>328</v>
      </c>
      <c r="F2519">
        <v>0</v>
      </c>
    </row>
    <row r="2520" spans="1:6">
      <c r="A2520" t="s">
        <v>2610</v>
      </c>
      <c r="B2520">
        <v>2024</v>
      </c>
      <c r="C2520" s="9">
        <v>43436</v>
      </c>
      <c r="D2520" t="s">
        <v>22</v>
      </c>
      <c r="E2520" t="s">
        <v>328</v>
      </c>
      <c r="F2520">
        <v>0</v>
      </c>
    </row>
    <row r="2521" spans="1:6">
      <c r="A2521" t="s">
        <v>2611</v>
      </c>
      <c r="B2521">
        <v>2024</v>
      </c>
      <c r="C2521" s="9">
        <v>43437</v>
      </c>
      <c r="D2521" t="s">
        <v>24</v>
      </c>
      <c r="E2521" t="s">
        <v>328</v>
      </c>
      <c r="F2521">
        <v>0</v>
      </c>
    </row>
    <row r="2522" spans="1:6">
      <c r="A2522" t="s">
        <v>2612</v>
      </c>
      <c r="B2522">
        <v>2024</v>
      </c>
      <c r="C2522" s="9">
        <v>43438</v>
      </c>
      <c r="D2522" t="s">
        <v>7</v>
      </c>
      <c r="E2522" t="s">
        <v>328</v>
      </c>
      <c r="F2522">
        <v>0</v>
      </c>
    </row>
    <row r="2523" spans="1:6">
      <c r="A2523" t="s">
        <v>2613</v>
      </c>
      <c r="B2523">
        <v>2024</v>
      </c>
      <c r="C2523" s="9">
        <v>43439</v>
      </c>
      <c r="D2523" t="s">
        <v>10</v>
      </c>
      <c r="E2523" t="s">
        <v>328</v>
      </c>
      <c r="F2523">
        <v>0</v>
      </c>
    </row>
    <row r="2524" spans="1:6">
      <c r="A2524" t="s">
        <v>2614</v>
      </c>
      <c r="B2524">
        <v>2018</v>
      </c>
      <c r="C2524" s="9">
        <v>43430</v>
      </c>
      <c r="D2524" t="s">
        <v>24</v>
      </c>
      <c r="E2524" t="s">
        <v>358</v>
      </c>
      <c r="F2524">
        <v>0</v>
      </c>
    </row>
    <row r="2525" spans="1:6">
      <c r="A2525" t="s">
        <v>2615</v>
      </c>
      <c r="B2525">
        <v>2024</v>
      </c>
      <c r="C2525" s="9">
        <v>43440</v>
      </c>
      <c r="D2525" t="s">
        <v>13</v>
      </c>
      <c r="E2525" t="s">
        <v>358</v>
      </c>
      <c r="F2525">
        <v>0</v>
      </c>
    </row>
    <row r="2526" spans="1:6">
      <c r="A2526" t="s">
        <v>2616</v>
      </c>
      <c r="B2526">
        <v>2024</v>
      </c>
      <c r="C2526" s="9">
        <v>43441</v>
      </c>
      <c r="D2526" t="s">
        <v>18</v>
      </c>
      <c r="E2526" t="s">
        <v>358</v>
      </c>
      <c r="F2526">
        <v>0</v>
      </c>
    </row>
    <row r="2527" spans="1:6">
      <c r="A2527" t="s">
        <v>2617</v>
      </c>
      <c r="B2527">
        <v>2024</v>
      </c>
      <c r="C2527" s="9">
        <v>43442</v>
      </c>
      <c r="D2527" t="s">
        <v>20</v>
      </c>
      <c r="E2527" t="s">
        <v>358</v>
      </c>
      <c r="F2527">
        <v>0</v>
      </c>
    </row>
    <row r="2528" spans="1:6">
      <c r="A2528" t="s">
        <v>2618</v>
      </c>
      <c r="B2528">
        <v>2024</v>
      </c>
      <c r="C2528" s="9">
        <v>43443</v>
      </c>
      <c r="D2528" t="s">
        <v>22</v>
      </c>
      <c r="E2528" t="s">
        <v>358</v>
      </c>
      <c r="F2528">
        <v>0</v>
      </c>
    </row>
    <row r="2529" spans="1:6">
      <c r="A2529" t="s">
        <v>2619</v>
      </c>
      <c r="B2529">
        <v>2024</v>
      </c>
      <c r="C2529" s="9">
        <v>43444</v>
      </c>
      <c r="D2529" t="s">
        <v>24</v>
      </c>
      <c r="E2529" t="s">
        <v>358</v>
      </c>
      <c r="F2529">
        <v>0</v>
      </c>
    </row>
    <row r="2530" spans="1:6">
      <c r="A2530" t="s">
        <v>2620</v>
      </c>
      <c r="B2530">
        <v>2024</v>
      </c>
      <c r="C2530" s="9">
        <v>43445</v>
      </c>
      <c r="D2530" t="s">
        <v>7</v>
      </c>
      <c r="E2530" t="s">
        <v>358</v>
      </c>
      <c r="F2530">
        <v>0</v>
      </c>
    </row>
    <row r="2531" spans="1:6">
      <c r="A2531" t="s">
        <v>2621</v>
      </c>
      <c r="B2531">
        <v>2024</v>
      </c>
      <c r="C2531" s="9">
        <v>43446</v>
      </c>
      <c r="D2531" t="s">
        <v>10</v>
      </c>
      <c r="E2531" t="s">
        <v>358</v>
      </c>
      <c r="F2531">
        <v>0</v>
      </c>
    </row>
    <row r="2532" spans="1:6">
      <c r="A2532" t="s">
        <v>2622</v>
      </c>
      <c r="B2532">
        <v>2024</v>
      </c>
      <c r="C2532" s="9">
        <v>43447</v>
      </c>
      <c r="D2532" t="s">
        <v>13</v>
      </c>
      <c r="E2532" t="s">
        <v>358</v>
      </c>
      <c r="F2532">
        <v>0</v>
      </c>
    </row>
    <row r="2533" spans="1:6">
      <c r="A2533" t="s">
        <v>2623</v>
      </c>
      <c r="B2533">
        <v>2024</v>
      </c>
      <c r="C2533" s="9">
        <v>43448</v>
      </c>
      <c r="D2533" t="s">
        <v>18</v>
      </c>
      <c r="E2533" t="s">
        <v>358</v>
      </c>
      <c r="F2533">
        <v>0</v>
      </c>
    </row>
    <row r="2534" spans="1:6">
      <c r="A2534" t="s">
        <v>2624</v>
      </c>
      <c r="B2534">
        <v>2024</v>
      </c>
      <c r="C2534" s="9">
        <v>43449</v>
      </c>
      <c r="D2534" t="s">
        <v>20</v>
      </c>
      <c r="E2534" t="s">
        <v>358</v>
      </c>
      <c r="F2534">
        <v>0</v>
      </c>
    </row>
    <row r="2535" spans="1:6">
      <c r="A2535" t="s">
        <v>2625</v>
      </c>
      <c r="B2535">
        <v>2024</v>
      </c>
      <c r="C2535" s="9">
        <v>43450</v>
      </c>
      <c r="D2535" t="s">
        <v>22</v>
      </c>
      <c r="E2535" t="s">
        <v>358</v>
      </c>
      <c r="F2535">
        <v>0</v>
      </c>
    </row>
    <row r="2536" spans="1:6">
      <c r="A2536" t="s">
        <v>2626</v>
      </c>
      <c r="B2536">
        <v>2024</v>
      </c>
      <c r="C2536" s="9">
        <v>43451</v>
      </c>
      <c r="D2536" t="s">
        <v>24</v>
      </c>
      <c r="E2536" t="s">
        <v>358</v>
      </c>
      <c r="F2536">
        <v>0</v>
      </c>
    </row>
    <row r="2537" spans="1:6">
      <c r="A2537" t="s">
        <v>2627</v>
      </c>
      <c r="B2537">
        <v>2024</v>
      </c>
      <c r="C2537" s="9">
        <v>43452</v>
      </c>
      <c r="D2537" t="s">
        <v>7</v>
      </c>
      <c r="E2537" t="s">
        <v>358</v>
      </c>
      <c r="F2537">
        <v>0</v>
      </c>
    </row>
    <row r="2538" spans="1:6">
      <c r="A2538" t="s">
        <v>2628</v>
      </c>
      <c r="B2538">
        <v>2024</v>
      </c>
      <c r="C2538" s="9">
        <v>43453</v>
      </c>
      <c r="D2538" t="s">
        <v>10</v>
      </c>
      <c r="E2538" t="s">
        <v>358</v>
      </c>
      <c r="F2538">
        <v>0</v>
      </c>
    </row>
    <row r="2539" spans="1:6">
      <c r="A2539" t="s">
        <v>2629</v>
      </c>
      <c r="B2539">
        <v>2024</v>
      </c>
      <c r="C2539" s="9">
        <v>43454</v>
      </c>
      <c r="D2539" t="s">
        <v>13</v>
      </c>
      <c r="E2539" t="s">
        <v>358</v>
      </c>
      <c r="F2539">
        <v>0</v>
      </c>
    </row>
    <row r="2540" spans="1:6">
      <c r="A2540" t="s">
        <v>2630</v>
      </c>
      <c r="B2540">
        <v>2024</v>
      </c>
      <c r="C2540" s="9">
        <v>43455</v>
      </c>
      <c r="D2540" t="s">
        <v>18</v>
      </c>
      <c r="E2540" t="s">
        <v>358</v>
      </c>
      <c r="F2540">
        <v>0</v>
      </c>
    </row>
    <row r="2541" spans="1:6">
      <c r="A2541" t="s">
        <v>2631</v>
      </c>
      <c r="B2541">
        <v>2024</v>
      </c>
      <c r="C2541" s="9">
        <v>43456</v>
      </c>
      <c r="D2541" t="s">
        <v>20</v>
      </c>
      <c r="E2541" t="s">
        <v>358</v>
      </c>
      <c r="F2541">
        <v>0</v>
      </c>
    </row>
    <row r="2542" spans="1:6">
      <c r="A2542" t="s">
        <v>2632</v>
      </c>
      <c r="B2542">
        <v>2024</v>
      </c>
      <c r="C2542" s="9">
        <v>43457</v>
      </c>
      <c r="D2542" t="s">
        <v>22</v>
      </c>
      <c r="E2542" t="s">
        <v>358</v>
      </c>
      <c r="F2542">
        <v>0</v>
      </c>
    </row>
    <row r="2543" spans="1:6">
      <c r="A2543" t="s">
        <v>2633</v>
      </c>
      <c r="B2543">
        <v>2024</v>
      </c>
      <c r="C2543" s="9">
        <v>43458</v>
      </c>
      <c r="D2543" t="s">
        <v>24</v>
      </c>
      <c r="E2543" t="s">
        <v>358</v>
      </c>
      <c r="F2543">
        <v>0</v>
      </c>
    </row>
    <row r="2544" spans="1:6">
      <c r="A2544" t="s">
        <v>2634</v>
      </c>
      <c r="B2544">
        <v>2024</v>
      </c>
      <c r="C2544" s="9">
        <v>43459</v>
      </c>
      <c r="D2544" t="s">
        <v>7</v>
      </c>
      <c r="E2544" t="s">
        <v>358</v>
      </c>
      <c r="F2544">
        <v>0</v>
      </c>
    </row>
    <row r="2545" spans="1:6">
      <c r="A2545" t="s">
        <v>2635</v>
      </c>
      <c r="B2545">
        <v>2024</v>
      </c>
      <c r="C2545" s="9">
        <v>43460</v>
      </c>
      <c r="D2545" t="s">
        <v>10</v>
      </c>
      <c r="E2545" t="s">
        <v>358</v>
      </c>
      <c r="F2545">
        <v>0</v>
      </c>
    </row>
    <row r="2546" spans="1:6">
      <c r="A2546" t="s">
        <v>2636</v>
      </c>
      <c r="B2546">
        <v>2024</v>
      </c>
      <c r="C2546" s="9">
        <v>43461</v>
      </c>
      <c r="D2546" t="s">
        <v>13</v>
      </c>
      <c r="E2546" t="s">
        <v>358</v>
      </c>
      <c r="F2546">
        <v>0</v>
      </c>
    </row>
    <row r="2547" spans="1:6">
      <c r="A2547" t="s">
        <v>2637</v>
      </c>
      <c r="B2547">
        <v>2024</v>
      </c>
      <c r="C2547" s="9">
        <v>43462</v>
      </c>
      <c r="D2547" t="s">
        <v>18</v>
      </c>
      <c r="E2547" t="s">
        <v>358</v>
      </c>
      <c r="F2547">
        <v>0</v>
      </c>
    </row>
    <row r="2548" spans="1:6">
      <c r="A2548" t="s">
        <v>2638</v>
      </c>
      <c r="B2548">
        <v>2024</v>
      </c>
      <c r="C2548" s="9">
        <v>43463</v>
      </c>
      <c r="D2548" t="s">
        <v>20</v>
      </c>
      <c r="E2548" t="s">
        <v>358</v>
      </c>
      <c r="F2548">
        <v>0</v>
      </c>
    </row>
    <row r="2549" spans="1:6">
      <c r="A2549" t="s">
        <v>2639</v>
      </c>
      <c r="B2549">
        <v>2024</v>
      </c>
      <c r="C2549" s="9">
        <v>43464</v>
      </c>
      <c r="D2549" t="s">
        <v>22</v>
      </c>
      <c r="E2549" t="s">
        <v>358</v>
      </c>
      <c r="F2549">
        <v>0</v>
      </c>
    </row>
    <row r="2550" spans="1:6">
      <c r="A2550" t="s">
        <v>2640</v>
      </c>
      <c r="B2550">
        <v>2024</v>
      </c>
      <c r="C2550" s="9">
        <v>43466</v>
      </c>
      <c r="D2550" t="s">
        <v>7</v>
      </c>
      <c r="E2550" t="s">
        <v>358</v>
      </c>
      <c r="F2550">
        <v>0</v>
      </c>
    </row>
    <row r="2551" spans="1:6">
      <c r="A2551" t="s">
        <v>2641</v>
      </c>
      <c r="B2551">
        <v>2024</v>
      </c>
      <c r="C2551" s="9">
        <v>43467</v>
      </c>
      <c r="D2551" t="s">
        <v>10</v>
      </c>
      <c r="E2551" t="s">
        <v>358</v>
      </c>
      <c r="F2551">
        <v>0</v>
      </c>
    </row>
    <row r="2552" spans="1:6">
      <c r="A2552" t="s">
        <v>2642</v>
      </c>
      <c r="B2552">
        <v>2018</v>
      </c>
      <c r="C2552" s="9">
        <v>43465</v>
      </c>
      <c r="D2552" t="s">
        <v>24</v>
      </c>
      <c r="E2552" t="s">
        <v>15</v>
      </c>
      <c r="F2552">
        <v>0</v>
      </c>
    </row>
    <row r="2553" spans="1:6">
      <c r="A2553" t="s">
        <v>2643</v>
      </c>
      <c r="B2553">
        <v>2024</v>
      </c>
      <c r="C2553" s="9">
        <v>43468</v>
      </c>
      <c r="D2553" t="s">
        <v>13</v>
      </c>
      <c r="E2553" t="s">
        <v>15</v>
      </c>
      <c r="F2553">
        <v>0</v>
      </c>
    </row>
    <row r="2554" spans="1:6">
      <c r="A2554" t="s">
        <v>2644</v>
      </c>
      <c r="B2554">
        <v>2024</v>
      </c>
      <c r="C2554" s="9">
        <v>43469</v>
      </c>
      <c r="D2554" t="s">
        <v>18</v>
      </c>
      <c r="E2554" t="s">
        <v>15</v>
      </c>
      <c r="F2554">
        <v>0</v>
      </c>
    </row>
    <row r="2555" spans="1:6">
      <c r="A2555" t="s">
        <v>2645</v>
      </c>
      <c r="B2555">
        <v>2024</v>
      </c>
      <c r="C2555" s="9">
        <v>43470</v>
      </c>
      <c r="D2555" t="s">
        <v>20</v>
      </c>
      <c r="E2555" t="s">
        <v>15</v>
      </c>
      <c r="F2555">
        <v>0</v>
      </c>
    </row>
    <row r="2556" spans="1:6">
      <c r="A2556" t="s">
        <v>2646</v>
      </c>
      <c r="B2556">
        <v>2024</v>
      </c>
      <c r="C2556" s="9">
        <v>43471</v>
      </c>
      <c r="D2556" t="s">
        <v>22</v>
      </c>
      <c r="E2556" t="s">
        <v>15</v>
      </c>
      <c r="F2556">
        <v>0</v>
      </c>
    </row>
    <row r="2557" spans="1:6">
      <c r="A2557" t="s">
        <v>2647</v>
      </c>
      <c r="B2557">
        <v>2024</v>
      </c>
      <c r="C2557" s="9">
        <v>43472</v>
      </c>
      <c r="D2557" t="s">
        <v>24</v>
      </c>
      <c r="E2557" t="s">
        <v>15</v>
      </c>
      <c r="F2557">
        <v>0</v>
      </c>
    </row>
    <row r="2558" spans="1:6">
      <c r="A2558" t="s">
        <v>2648</v>
      </c>
      <c r="B2558">
        <v>2024</v>
      </c>
      <c r="C2558" s="9">
        <v>43473</v>
      </c>
      <c r="D2558" t="s">
        <v>7</v>
      </c>
      <c r="E2558" t="s">
        <v>15</v>
      </c>
      <c r="F2558">
        <v>0</v>
      </c>
    </row>
    <row r="2559" spans="1:6">
      <c r="A2559" t="s">
        <v>2649</v>
      </c>
      <c r="B2559">
        <v>2024</v>
      </c>
      <c r="C2559" s="9">
        <v>43474</v>
      </c>
      <c r="D2559" t="s">
        <v>10</v>
      </c>
      <c r="E2559" t="s">
        <v>15</v>
      </c>
      <c r="F2559">
        <v>0</v>
      </c>
    </row>
    <row r="2560" spans="1:6">
      <c r="A2560" t="s">
        <v>2650</v>
      </c>
      <c r="B2560">
        <v>2024</v>
      </c>
      <c r="C2560" s="9">
        <v>43475</v>
      </c>
      <c r="D2560" t="s">
        <v>13</v>
      </c>
      <c r="E2560" t="s">
        <v>15</v>
      </c>
      <c r="F2560">
        <v>0</v>
      </c>
    </row>
    <row r="2561" spans="1:6">
      <c r="A2561" t="s">
        <v>2651</v>
      </c>
      <c r="B2561">
        <v>2024</v>
      </c>
      <c r="C2561" s="9">
        <v>43476</v>
      </c>
      <c r="D2561" t="s">
        <v>18</v>
      </c>
      <c r="E2561" t="s">
        <v>15</v>
      </c>
      <c r="F2561">
        <v>0</v>
      </c>
    </row>
    <row r="2562" spans="1:6">
      <c r="A2562" t="s">
        <v>2652</v>
      </c>
      <c r="B2562">
        <v>2024</v>
      </c>
      <c r="C2562" s="9">
        <v>43477</v>
      </c>
      <c r="D2562" t="s">
        <v>20</v>
      </c>
      <c r="E2562" t="s">
        <v>15</v>
      </c>
      <c r="F2562">
        <v>0</v>
      </c>
    </row>
    <row r="2563" spans="1:6">
      <c r="A2563" t="s">
        <v>2653</v>
      </c>
      <c r="B2563">
        <v>2024</v>
      </c>
      <c r="C2563" s="9">
        <v>43478</v>
      </c>
      <c r="D2563" t="s">
        <v>22</v>
      </c>
      <c r="E2563" t="s">
        <v>15</v>
      </c>
      <c r="F2563">
        <v>0</v>
      </c>
    </row>
    <row r="2564" spans="1:6">
      <c r="A2564" t="s">
        <v>2654</v>
      </c>
      <c r="B2564">
        <v>2024</v>
      </c>
      <c r="C2564" s="9">
        <v>43479</v>
      </c>
      <c r="D2564" t="s">
        <v>24</v>
      </c>
      <c r="E2564" t="s">
        <v>15</v>
      </c>
      <c r="F2564">
        <v>0</v>
      </c>
    </row>
    <row r="2565" spans="1:6">
      <c r="A2565" t="s">
        <v>2655</v>
      </c>
      <c r="B2565">
        <v>2024</v>
      </c>
      <c r="C2565" s="9">
        <v>43480</v>
      </c>
      <c r="D2565" t="s">
        <v>7</v>
      </c>
      <c r="E2565" t="s">
        <v>15</v>
      </c>
      <c r="F2565">
        <v>0</v>
      </c>
    </row>
    <row r="2566" spans="1:6">
      <c r="A2566" t="s">
        <v>2656</v>
      </c>
      <c r="B2566">
        <v>2024</v>
      </c>
      <c r="C2566" s="9">
        <v>43481</v>
      </c>
      <c r="D2566" t="s">
        <v>10</v>
      </c>
      <c r="E2566" t="s">
        <v>15</v>
      </c>
      <c r="F2566">
        <v>0</v>
      </c>
    </row>
    <row r="2567" spans="1:6">
      <c r="A2567" t="s">
        <v>2657</v>
      </c>
      <c r="B2567">
        <v>2024</v>
      </c>
      <c r="C2567" s="9">
        <v>43482</v>
      </c>
      <c r="D2567" t="s">
        <v>13</v>
      </c>
      <c r="E2567" t="s">
        <v>15</v>
      </c>
      <c r="F2567">
        <v>0</v>
      </c>
    </row>
    <row r="2568" spans="1:6">
      <c r="A2568" t="s">
        <v>2658</v>
      </c>
      <c r="B2568">
        <v>2024</v>
      </c>
      <c r="C2568" s="9">
        <v>43483</v>
      </c>
      <c r="D2568" t="s">
        <v>18</v>
      </c>
      <c r="E2568" t="s">
        <v>15</v>
      </c>
      <c r="F2568">
        <v>0</v>
      </c>
    </row>
    <row r="2569" spans="1:6">
      <c r="A2569" t="s">
        <v>2659</v>
      </c>
      <c r="B2569">
        <v>2024</v>
      </c>
      <c r="C2569" s="9">
        <v>43484</v>
      </c>
      <c r="D2569" t="s">
        <v>20</v>
      </c>
      <c r="E2569" t="s">
        <v>15</v>
      </c>
      <c r="F2569">
        <v>0</v>
      </c>
    </row>
    <row r="2570" spans="1:6">
      <c r="A2570" t="s">
        <v>2660</v>
      </c>
      <c r="B2570">
        <v>2024</v>
      </c>
      <c r="C2570" s="9">
        <v>43485</v>
      </c>
      <c r="D2570" t="s">
        <v>22</v>
      </c>
      <c r="E2570" t="s">
        <v>15</v>
      </c>
      <c r="F2570">
        <v>0</v>
      </c>
    </row>
    <row r="2571" spans="1:6">
      <c r="A2571" t="s">
        <v>2661</v>
      </c>
      <c r="B2571">
        <v>2024</v>
      </c>
      <c r="C2571" s="9">
        <v>43486</v>
      </c>
      <c r="D2571" t="s">
        <v>24</v>
      </c>
      <c r="E2571" t="s">
        <v>15</v>
      </c>
      <c r="F2571">
        <v>0</v>
      </c>
    </row>
    <row r="2572" spans="1:6">
      <c r="A2572" t="s">
        <v>2662</v>
      </c>
      <c r="B2572">
        <v>2024</v>
      </c>
      <c r="C2572" s="9">
        <v>43487</v>
      </c>
      <c r="D2572" t="s">
        <v>7</v>
      </c>
      <c r="E2572" t="s">
        <v>15</v>
      </c>
      <c r="F2572">
        <v>0</v>
      </c>
    </row>
    <row r="2573" spans="1:6">
      <c r="A2573" t="s">
        <v>2663</v>
      </c>
      <c r="B2573">
        <v>2024</v>
      </c>
      <c r="C2573" s="9">
        <v>43488</v>
      </c>
      <c r="D2573" t="s">
        <v>10</v>
      </c>
      <c r="E2573" t="s">
        <v>15</v>
      </c>
      <c r="F2573">
        <v>0</v>
      </c>
    </row>
    <row r="2574" spans="1:6">
      <c r="A2574" t="s">
        <v>2664</v>
      </c>
      <c r="B2574">
        <v>2024</v>
      </c>
      <c r="C2574" s="9">
        <v>43489</v>
      </c>
      <c r="D2574" t="s">
        <v>13</v>
      </c>
      <c r="E2574" t="s">
        <v>15</v>
      </c>
      <c r="F2574">
        <v>0</v>
      </c>
    </row>
    <row r="2575" spans="1:6">
      <c r="A2575" t="s">
        <v>2665</v>
      </c>
      <c r="B2575">
        <v>2024</v>
      </c>
      <c r="C2575" s="9">
        <v>43490</v>
      </c>
      <c r="D2575" t="s">
        <v>18</v>
      </c>
      <c r="E2575" t="s">
        <v>15</v>
      </c>
      <c r="F2575">
        <v>0</v>
      </c>
    </row>
    <row r="2576" spans="1:6">
      <c r="A2576" t="s">
        <v>2666</v>
      </c>
      <c r="B2576">
        <v>2024</v>
      </c>
      <c r="C2576" s="9">
        <v>43491</v>
      </c>
      <c r="D2576" t="s">
        <v>20</v>
      </c>
      <c r="E2576" t="s">
        <v>15</v>
      </c>
      <c r="F2576">
        <v>0</v>
      </c>
    </row>
    <row r="2577" spans="1:6">
      <c r="A2577" t="s">
        <v>2667</v>
      </c>
      <c r="B2577">
        <v>2024</v>
      </c>
      <c r="C2577" s="9">
        <v>43492</v>
      </c>
      <c r="D2577" t="s">
        <v>22</v>
      </c>
      <c r="E2577" t="s">
        <v>15</v>
      </c>
      <c r="F2577">
        <v>0</v>
      </c>
    </row>
    <row r="2578" spans="1:6">
      <c r="A2578" t="s">
        <v>2668</v>
      </c>
      <c r="B2578">
        <v>2024</v>
      </c>
      <c r="C2578" s="9">
        <v>43494</v>
      </c>
      <c r="D2578" t="s">
        <v>7</v>
      </c>
      <c r="E2578" t="s">
        <v>15</v>
      </c>
      <c r="F2578">
        <v>0</v>
      </c>
    </row>
    <row r="2579" spans="1:6">
      <c r="A2579" t="s">
        <v>2669</v>
      </c>
      <c r="B2579">
        <v>2024</v>
      </c>
      <c r="C2579" s="9">
        <v>43495</v>
      </c>
      <c r="D2579" t="s">
        <v>10</v>
      </c>
      <c r="E2579" t="s">
        <v>15</v>
      </c>
      <c r="F2579">
        <v>0</v>
      </c>
    </row>
    <row r="2580" spans="1:6">
      <c r="A2580" t="s">
        <v>2670</v>
      </c>
      <c r="B2580">
        <v>2024</v>
      </c>
      <c r="C2580" s="9">
        <v>43496</v>
      </c>
      <c r="D2580" t="s">
        <v>13</v>
      </c>
      <c r="E2580" t="s">
        <v>15</v>
      </c>
      <c r="F2580">
        <v>0</v>
      </c>
    </row>
    <row r="2581" spans="1:6">
      <c r="A2581" t="s">
        <v>2671</v>
      </c>
      <c r="B2581">
        <v>2024</v>
      </c>
      <c r="C2581" s="9">
        <v>43497</v>
      </c>
      <c r="D2581" t="s">
        <v>18</v>
      </c>
      <c r="E2581" t="s">
        <v>15</v>
      </c>
      <c r="F2581">
        <v>0</v>
      </c>
    </row>
    <row r="2582" spans="1:6">
      <c r="A2582" t="s">
        <v>2672</v>
      </c>
      <c r="B2582">
        <v>2024</v>
      </c>
      <c r="C2582" s="9">
        <v>43498</v>
      </c>
      <c r="D2582" t="s">
        <v>20</v>
      </c>
      <c r="E2582" t="s">
        <v>15</v>
      </c>
      <c r="F2582">
        <v>0</v>
      </c>
    </row>
    <row r="2583" spans="1:6">
      <c r="A2583" t="s">
        <v>2673</v>
      </c>
      <c r="B2583">
        <v>2024</v>
      </c>
      <c r="C2583" s="9">
        <v>43499</v>
      </c>
      <c r="D2583" t="s">
        <v>22</v>
      </c>
      <c r="E2583" t="s">
        <v>15</v>
      </c>
      <c r="F2583">
        <v>0</v>
      </c>
    </row>
    <row r="2584" spans="1:6">
      <c r="A2584" t="s">
        <v>2674</v>
      </c>
      <c r="B2584">
        <v>2024</v>
      </c>
      <c r="C2584" s="9">
        <v>43500</v>
      </c>
      <c r="D2584" t="s">
        <v>24</v>
      </c>
      <c r="E2584" t="s">
        <v>15</v>
      </c>
      <c r="F2584">
        <v>0</v>
      </c>
    </row>
    <row r="2585" spans="1:6">
      <c r="A2585" t="s">
        <v>2675</v>
      </c>
      <c r="B2585">
        <v>2024</v>
      </c>
      <c r="C2585" s="9">
        <v>43501</v>
      </c>
      <c r="D2585" t="s">
        <v>7</v>
      </c>
      <c r="E2585" t="s">
        <v>15</v>
      </c>
      <c r="F2585">
        <v>0</v>
      </c>
    </row>
    <row r="2586" spans="1:6">
      <c r="A2586" t="s">
        <v>2676</v>
      </c>
      <c r="B2586">
        <v>2024</v>
      </c>
      <c r="C2586" s="9">
        <v>43502</v>
      </c>
      <c r="D2586" t="s">
        <v>10</v>
      </c>
      <c r="E2586" t="s">
        <v>15</v>
      </c>
      <c r="F2586">
        <v>0</v>
      </c>
    </row>
    <row r="2587" spans="1:6">
      <c r="A2587" t="s">
        <v>2677</v>
      </c>
      <c r="B2587">
        <v>2019</v>
      </c>
      <c r="C2587" s="9">
        <v>43493</v>
      </c>
      <c r="D2587" t="s">
        <v>24</v>
      </c>
      <c r="E2587" t="s">
        <v>51</v>
      </c>
      <c r="F2587">
        <v>0</v>
      </c>
    </row>
    <row r="2588" spans="1:6">
      <c r="A2588" t="s">
        <v>2678</v>
      </c>
      <c r="B2588">
        <v>2024</v>
      </c>
      <c r="C2588" s="9">
        <v>43503</v>
      </c>
      <c r="D2588" t="s">
        <v>13</v>
      </c>
      <c r="E2588" t="s">
        <v>51</v>
      </c>
      <c r="F2588">
        <v>0</v>
      </c>
    </row>
    <row r="2589" spans="1:6">
      <c r="A2589" t="s">
        <v>2679</v>
      </c>
      <c r="B2589">
        <v>2024</v>
      </c>
      <c r="C2589" s="9">
        <v>43504</v>
      </c>
      <c r="D2589" t="s">
        <v>18</v>
      </c>
      <c r="E2589" t="s">
        <v>51</v>
      </c>
      <c r="F2589">
        <v>0</v>
      </c>
    </row>
    <row r="2590" spans="1:6">
      <c r="A2590" t="s">
        <v>2680</v>
      </c>
      <c r="B2590">
        <v>2024</v>
      </c>
      <c r="C2590" s="9">
        <v>43505</v>
      </c>
      <c r="D2590" t="s">
        <v>20</v>
      </c>
      <c r="E2590" t="s">
        <v>51</v>
      </c>
      <c r="F2590">
        <v>0</v>
      </c>
    </row>
    <row r="2591" spans="1:6">
      <c r="A2591" t="s">
        <v>2681</v>
      </c>
      <c r="B2591">
        <v>2024</v>
      </c>
      <c r="C2591" s="9">
        <v>43506</v>
      </c>
      <c r="D2591" t="s">
        <v>22</v>
      </c>
      <c r="E2591" t="s">
        <v>51</v>
      </c>
      <c r="F2591">
        <v>0</v>
      </c>
    </row>
    <row r="2592" spans="1:6">
      <c r="A2592" t="s">
        <v>2682</v>
      </c>
      <c r="B2592">
        <v>2024</v>
      </c>
      <c r="C2592" s="9">
        <v>43507</v>
      </c>
      <c r="D2592" t="s">
        <v>24</v>
      </c>
      <c r="E2592" t="s">
        <v>51</v>
      </c>
      <c r="F2592">
        <v>0</v>
      </c>
    </row>
    <row r="2593" spans="1:6">
      <c r="A2593" t="s">
        <v>2683</v>
      </c>
      <c r="B2593">
        <v>2024</v>
      </c>
      <c r="C2593" s="9">
        <v>43508</v>
      </c>
      <c r="D2593" t="s">
        <v>7</v>
      </c>
      <c r="E2593" t="s">
        <v>51</v>
      </c>
      <c r="F2593">
        <v>0</v>
      </c>
    </row>
    <row r="2594" spans="1:6">
      <c r="A2594" t="s">
        <v>2684</v>
      </c>
      <c r="B2594">
        <v>2024</v>
      </c>
      <c r="C2594" s="9">
        <v>43509</v>
      </c>
      <c r="D2594" t="s">
        <v>10</v>
      </c>
      <c r="E2594" t="s">
        <v>51</v>
      </c>
      <c r="F2594">
        <v>0</v>
      </c>
    </row>
    <row r="2595" spans="1:6">
      <c r="A2595" t="s">
        <v>2685</v>
      </c>
      <c r="B2595">
        <v>2024</v>
      </c>
      <c r="C2595" s="9">
        <v>43510</v>
      </c>
      <c r="D2595" t="s">
        <v>13</v>
      </c>
      <c r="E2595" t="s">
        <v>51</v>
      </c>
      <c r="F2595">
        <v>0</v>
      </c>
    </row>
    <row r="2596" spans="1:6">
      <c r="A2596" t="s">
        <v>2686</v>
      </c>
      <c r="B2596">
        <v>2024</v>
      </c>
      <c r="C2596" s="9">
        <v>43511</v>
      </c>
      <c r="D2596" t="s">
        <v>18</v>
      </c>
      <c r="E2596" t="s">
        <v>51</v>
      </c>
      <c r="F2596">
        <v>0</v>
      </c>
    </row>
    <row r="2597" spans="1:6">
      <c r="A2597" t="s">
        <v>2687</v>
      </c>
      <c r="B2597">
        <v>2024</v>
      </c>
      <c r="C2597" s="9">
        <v>43512</v>
      </c>
      <c r="D2597" t="s">
        <v>20</v>
      </c>
      <c r="E2597" t="s">
        <v>51</v>
      </c>
      <c r="F2597">
        <v>0</v>
      </c>
    </row>
    <row r="2598" spans="1:6">
      <c r="A2598" t="s">
        <v>2688</v>
      </c>
      <c r="B2598">
        <v>2024</v>
      </c>
      <c r="C2598" s="9">
        <v>43513</v>
      </c>
      <c r="D2598" t="s">
        <v>22</v>
      </c>
      <c r="E2598" t="s">
        <v>51</v>
      </c>
      <c r="F2598">
        <v>0</v>
      </c>
    </row>
    <row r="2599" spans="1:6">
      <c r="A2599" t="s">
        <v>2689</v>
      </c>
      <c r="B2599">
        <v>2024</v>
      </c>
      <c r="C2599" s="9">
        <v>43514</v>
      </c>
      <c r="D2599" t="s">
        <v>24</v>
      </c>
      <c r="E2599" t="s">
        <v>51</v>
      </c>
      <c r="F2599">
        <v>0</v>
      </c>
    </row>
    <row r="2600" spans="1:6">
      <c r="A2600" t="s">
        <v>2690</v>
      </c>
      <c r="B2600">
        <v>2024</v>
      </c>
      <c r="C2600" s="9">
        <v>43515</v>
      </c>
      <c r="D2600" t="s">
        <v>7</v>
      </c>
      <c r="E2600" t="s">
        <v>51</v>
      </c>
      <c r="F2600">
        <v>0</v>
      </c>
    </row>
    <row r="2601" spans="1:6">
      <c r="A2601" t="s">
        <v>2691</v>
      </c>
      <c r="B2601">
        <v>2024</v>
      </c>
      <c r="C2601" s="9">
        <v>43516</v>
      </c>
      <c r="D2601" t="s">
        <v>10</v>
      </c>
      <c r="E2601" t="s">
        <v>51</v>
      </c>
      <c r="F2601">
        <v>0</v>
      </c>
    </row>
    <row r="2602" spans="1:6">
      <c r="A2602" t="s">
        <v>2692</v>
      </c>
      <c r="B2602">
        <v>2024</v>
      </c>
      <c r="C2602" s="9">
        <v>43517</v>
      </c>
      <c r="D2602" t="s">
        <v>13</v>
      </c>
      <c r="E2602" t="s">
        <v>51</v>
      </c>
      <c r="F2602">
        <v>0</v>
      </c>
    </row>
    <row r="2603" spans="1:6">
      <c r="A2603" t="s">
        <v>2693</v>
      </c>
      <c r="B2603">
        <v>2024</v>
      </c>
      <c r="C2603" s="9">
        <v>43518</v>
      </c>
      <c r="D2603" t="s">
        <v>18</v>
      </c>
      <c r="E2603" t="s">
        <v>51</v>
      </c>
      <c r="F2603">
        <v>0</v>
      </c>
    </row>
    <row r="2604" spans="1:6">
      <c r="A2604" t="s">
        <v>2694</v>
      </c>
      <c r="B2604">
        <v>2024</v>
      </c>
      <c r="C2604" s="9">
        <v>43519</v>
      </c>
      <c r="D2604" t="s">
        <v>20</v>
      </c>
      <c r="E2604" t="s">
        <v>51</v>
      </c>
      <c r="F2604">
        <v>0</v>
      </c>
    </row>
    <row r="2605" spans="1:6">
      <c r="A2605" t="s">
        <v>2695</v>
      </c>
      <c r="B2605">
        <v>2024</v>
      </c>
      <c r="C2605" s="9">
        <v>43520</v>
      </c>
      <c r="D2605" t="s">
        <v>22</v>
      </c>
      <c r="E2605" t="s">
        <v>51</v>
      </c>
      <c r="F2605">
        <v>0</v>
      </c>
    </row>
    <row r="2606" spans="1:6">
      <c r="A2606" t="s">
        <v>2696</v>
      </c>
      <c r="B2606">
        <v>2024</v>
      </c>
      <c r="C2606" s="9">
        <v>43522</v>
      </c>
      <c r="D2606" t="s">
        <v>7</v>
      </c>
      <c r="E2606" t="s">
        <v>51</v>
      </c>
      <c r="F2606">
        <v>0</v>
      </c>
    </row>
    <row r="2607" spans="1:6">
      <c r="A2607" t="s">
        <v>2697</v>
      </c>
      <c r="B2607">
        <v>2024</v>
      </c>
      <c r="C2607" s="9">
        <v>43523</v>
      </c>
      <c r="D2607" t="s">
        <v>10</v>
      </c>
      <c r="E2607" t="s">
        <v>51</v>
      </c>
      <c r="F2607">
        <v>0</v>
      </c>
    </row>
    <row r="2608" spans="1:6">
      <c r="A2608" t="s">
        <v>2698</v>
      </c>
      <c r="B2608">
        <v>2024</v>
      </c>
      <c r="C2608" s="9">
        <v>43524</v>
      </c>
      <c r="D2608" t="s">
        <v>13</v>
      </c>
      <c r="E2608" t="s">
        <v>51</v>
      </c>
      <c r="F2608">
        <v>0</v>
      </c>
    </row>
    <row r="2609" spans="1:6">
      <c r="A2609" t="s">
        <v>2699</v>
      </c>
      <c r="B2609">
        <v>2024</v>
      </c>
      <c r="C2609" s="9">
        <v>43525</v>
      </c>
      <c r="D2609" t="s">
        <v>18</v>
      </c>
      <c r="E2609" t="s">
        <v>51</v>
      </c>
      <c r="F2609">
        <v>0</v>
      </c>
    </row>
    <row r="2610" spans="1:6">
      <c r="A2610" t="s">
        <v>2700</v>
      </c>
      <c r="B2610">
        <v>2024</v>
      </c>
      <c r="C2610" s="9">
        <v>43526</v>
      </c>
      <c r="D2610" t="s">
        <v>20</v>
      </c>
      <c r="E2610" t="s">
        <v>51</v>
      </c>
      <c r="F2610">
        <v>0</v>
      </c>
    </row>
    <row r="2611" spans="1:6">
      <c r="A2611" t="s">
        <v>2701</v>
      </c>
      <c r="B2611">
        <v>2024</v>
      </c>
      <c r="C2611" s="9">
        <v>43527</v>
      </c>
      <c r="D2611" t="s">
        <v>22</v>
      </c>
      <c r="E2611" t="s">
        <v>51</v>
      </c>
      <c r="F2611">
        <v>0</v>
      </c>
    </row>
    <row r="2612" spans="1:6">
      <c r="A2612" t="s">
        <v>2702</v>
      </c>
      <c r="B2612">
        <v>2024</v>
      </c>
      <c r="C2612" s="9">
        <v>43528</v>
      </c>
      <c r="D2612" t="s">
        <v>24</v>
      </c>
      <c r="E2612" t="s">
        <v>51</v>
      </c>
      <c r="F2612">
        <v>0</v>
      </c>
    </row>
    <row r="2613" spans="1:6">
      <c r="A2613" t="s">
        <v>2703</v>
      </c>
      <c r="B2613">
        <v>2024</v>
      </c>
      <c r="C2613" s="9">
        <v>43529</v>
      </c>
      <c r="D2613" t="s">
        <v>7</v>
      </c>
      <c r="E2613" t="s">
        <v>51</v>
      </c>
      <c r="F2613">
        <v>0</v>
      </c>
    </row>
    <row r="2614" spans="1:6">
      <c r="A2614" t="s">
        <v>2704</v>
      </c>
      <c r="B2614">
        <v>2024</v>
      </c>
      <c r="C2614" s="9">
        <v>43530</v>
      </c>
      <c r="D2614" t="s">
        <v>10</v>
      </c>
      <c r="E2614" t="s">
        <v>51</v>
      </c>
      <c r="F2614">
        <v>0</v>
      </c>
    </row>
    <row r="2615" spans="1:6">
      <c r="A2615" t="s">
        <v>2705</v>
      </c>
      <c r="B2615">
        <v>2019</v>
      </c>
      <c r="C2615" s="9">
        <v>43521</v>
      </c>
      <c r="D2615" t="s">
        <v>24</v>
      </c>
      <c r="E2615" t="s">
        <v>80</v>
      </c>
      <c r="F2615">
        <v>0</v>
      </c>
    </row>
    <row r="2616" spans="1:6">
      <c r="A2616" t="s">
        <v>2706</v>
      </c>
      <c r="B2616">
        <v>2024</v>
      </c>
      <c r="C2616" s="9">
        <v>43531</v>
      </c>
      <c r="D2616" t="s">
        <v>13</v>
      </c>
      <c r="E2616" t="s">
        <v>80</v>
      </c>
      <c r="F2616">
        <v>0</v>
      </c>
    </row>
    <row r="2617" spans="1:6">
      <c r="A2617" t="s">
        <v>2707</v>
      </c>
      <c r="B2617">
        <v>2024</v>
      </c>
      <c r="C2617" s="9">
        <v>43532</v>
      </c>
      <c r="D2617" t="s">
        <v>18</v>
      </c>
      <c r="E2617" t="s">
        <v>80</v>
      </c>
      <c r="F2617">
        <v>0</v>
      </c>
    </row>
    <row r="2618" spans="1:6">
      <c r="A2618" t="s">
        <v>2708</v>
      </c>
      <c r="B2618">
        <v>2024</v>
      </c>
      <c r="C2618" s="9">
        <v>43533</v>
      </c>
      <c r="D2618" t="s">
        <v>20</v>
      </c>
      <c r="E2618" t="s">
        <v>80</v>
      </c>
      <c r="F2618">
        <v>0</v>
      </c>
    </row>
    <row r="2619" spans="1:6">
      <c r="A2619" t="s">
        <v>2709</v>
      </c>
      <c r="B2619">
        <v>2024</v>
      </c>
      <c r="C2619" s="9">
        <v>43534</v>
      </c>
      <c r="D2619" t="s">
        <v>22</v>
      </c>
      <c r="E2619" t="s">
        <v>80</v>
      </c>
      <c r="F2619">
        <v>0</v>
      </c>
    </row>
    <row r="2620" spans="1:6">
      <c r="A2620" t="s">
        <v>2710</v>
      </c>
      <c r="B2620">
        <v>2024</v>
      </c>
      <c r="C2620" s="9">
        <v>43535</v>
      </c>
      <c r="D2620" t="s">
        <v>24</v>
      </c>
      <c r="E2620" t="s">
        <v>80</v>
      </c>
      <c r="F2620">
        <v>0</v>
      </c>
    </row>
    <row r="2621" spans="1:6">
      <c r="A2621" t="s">
        <v>2711</v>
      </c>
      <c r="B2621">
        <v>2024</v>
      </c>
      <c r="C2621" s="9">
        <v>43536</v>
      </c>
      <c r="D2621" t="s">
        <v>7</v>
      </c>
      <c r="E2621" t="s">
        <v>80</v>
      </c>
      <c r="F2621">
        <v>0</v>
      </c>
    </row>
    <row r="2622" spans="1:6">
      <c r="A2622" t="s">
        <v>2712</v>
      </c>
      <c r="B2622">
        <v>2024</v>
      </c>
      <c r="C2622" s="9">
        <v>43537</v>
      </c>
      <c r="D2622" t="s">
        <v>10</v>
      </c>
      <c r="E2622" t="s">
        <v>80</v>
      </c>
      <c r="F2622">
        <v>0</v>
      </c>
    </row>
    <row r="2623" spans="1:6">
      <c r="A2623" t="s">
        <v>2713</v>
      </c>
      <c r="B2623">
        <v>2024</v>
      </c>
      <c r="C2623" s="9">
        <v>43538</v>
      </c>
      <c r="D2623" t="s">
        <v>13</v>
      </c>
      <c r="E2623" t="s">
        <v>80</v>
      </c>
      <c r="F2623">
        <v>0</v>
      </c>
    </row>
    <row r="2624" spans="1:6">
      <c r="A2624" t="s">
        <v>2714</v>
      </c>
      <c r="B2624">
        <v>2024</v>
      </c>
      <c r="C2624" s="9">
        <v>43539</v>
      </c>
      <c r="D2624" t="s">
        <v>18</v>
      </c>
      <c r="E2624" t="s">
        <v>80</v>
      </c>
      <c r="F2624">
        <v>0</v>
      </c>
    </row>
    <row r="2625" spans="1:6">
      <c r="A2625" t="s">
        <v>2715</v>
      </c>
      <c r="B2625">
        <v>2024</v>
      </c>
      <c r="C2625" s="9">
        <v>43540</v>
      </c>
      <c r="D2625" t="s">
        <v>20</v>
      </c>
      <c r="E2625" t="s">
        <v>80</v>
      </c>
      <c r="F2625">
        <v>0</v>
      </c>
    </row>
    <row r="2626" spans="1:6">
      <c r="A2626" t="s">
        <v>2716</v>
      </c>
      <c r="B2626">
        <v>2024</v>
      </c>
      <c r="C2626" s="9">
        <v>43541</v>
      </c>
      <c r="D2626" t="s">
        <v>22</v>
      </c>
      <c r="E2626" t="s">
        <v>80</v>
      </c>
      <c r="F2626">
        <v>0</v>
      </c>
    </row>
    <row r="2627" spans="1:6">
      <c r="A2627" t="s">
        <v>2717</v>
      </c>
      <c r="B2627">
        <v>2024</v>
      </c>
      <c r="C2627" s="9">
        <v>43542</v>
      </c>
      <c r="D2627" t="s">
        <v>24</v>
      </c>
      <c r="E2627" t="s">
        <v>80</v>
      </c>
      <c r="F2627">
        <v>0</v>
      </c>
    </row>
    <row r="2628" spans="1:6">
      <c r="A2628" t="s">
        <v>2718</v>
      </c>
      <c r="B2628">
        <v>2024</v>
      </c>
      <c r="C2628" s="9">
        <v>43543</v>
      </c>
      <c r="D2628" t="s">
        <v>7</v>
      </c>
      <c r="E2628" t="s">
        <v>80</v>
      </c>
      <c r="F2628">
        <v>0</v>
      </c>
    </row>
    <row r="2629" spans="1:6">
      <c r="A2629" t="s">
        <v>2719</v>
      </c>
      <c r="B2629">
        <v>2024</v>
      </c>
      <c r="C2629" s="9">
        <v>43544</v>
      </c>
      <c r="D2629" t="s">
        <v>10</v>
      </c>
      <c r="E2629" t="s">
        <v>80</v>
      </c>
      <c r="F2629">
        <v>0</v>
      </c>
    </row>
    <row r="2630" spans="1:6">
      <c r="A2630" t="s">
        <v>2720</v>
      </c>
      <c r="B2630">
        <v>2024</v>
      </c>
      <c r="C2630" s="9">
        <v>43545</v>
      </c>
      <c r="D2630" t="s">
        <v>13</v>
      </c>
      <c r="E2630" t="s">
        <v>80</v>
      </c>
      <c r="F2630">
        <v>0</v>
      </c>
    </row>
    <row r="2631" spans="1:6">
      <c r="A2631" t="s">
        <v>2721</v>
      </c>
      <c r="B2631">
        <v>2024</v>
      </c>
      <c r="C2631" s="9">
        <v>43546</v>
      </c>
      <c r="D2631" t="s">
        <v>18</v>
      </c>
      <c r="E2631" t="s">
        <v>80</v>
      </c>
      <c r="F2631">
        <v>0</v>
      </c>
    </row>
    <row r="2632" spans="1:6">
      <c r="A2632" t="s">
        <v>2722</v>
      </c>
      <c r="B2632">
        <v>2024</v>
      </c>
      <c r="C2632" s="9">
        <v>43547</v>
      </c>
      <c r="D2632" t="s">
        <v>20</v>
      </c>
      <c r="E2632" t="s">
        <v>80</v>
      </c>
      <c r="F2632">
        <v>0</v>
      </c>
    </row>
    <row r="2633" spans="1:6">
      <c r="A2633" t="s">
        <v>2723</v>
      </c>
      <c r="B2633">
        <v>2024</v>
      </c>
      <c r="C2633" s="9">
        <v>43548</v>
      </c>
      <c r="D2633" t="s">
        <v>22</v>
      </c>
      <c r="E2633" t="s">
        <v>80</v>
      </c>
      <c r="F2633">
        <v>0</v>
      </c>
    </row>
    <row r="2634" spans="1:6">
      <c r="A2634" t="s">
        <v>2724</v>
      </c>
      <c r="B2634">
        <v>2024</v>
      </c>
      <c r="C2634" s="9">
        <v>43549</v>
      </c>
      <c r="D2634" t="s">
        <v>24</v>
      </c>
      <c r="E2634" t="s">
        <v>80</v>
      </c>
      <c r="F2634">
        <v>0</v>
      </c>
    </row>
    <row r="2635" spans="1:6">
      <c r="A2635" t="s">
        <v>2725</v>
      </c>
      <c r="B2635">
        <v>2024</v>
      </c>
      <c r="C2635" s="9">
        <v>43550</v>
      </c>
      <c r="D2635" t="s">
        <v>7</v>
      </c>
      <c r="E2635" t="s">
        <v>80</v>
      </c>
      <c r="F2635">
        <v>0</v>
      </c>
    </row>
    <row r="2636" spans="1:6">
      <c r="A2636" t="s">
        <v>2726</v>
      </c>
      <c r="B2636">
        <v>2024</v>
      </c>
      <c r="C2636" s="9">
        <v>43551</v>
      </c>
      <c r="D2636" t="s">
        <v>10</v>
      </c>
      <c r="E2636" t="s">
        <v>80</v>
      </c>
      <c r="F2636">
        <v>0</v>
      </c>
    </row>
    <row r="2637" spans="1:6">
      <c r="A2637" t="s">
        <v>2727</v>
      </c>
      <c r="B2637">
        <v>2024</v>
      </c>
      <c r="C2637" s="9">
        <v>43552</v>
      </c>
      <c r="D2637" t="s">
        <v>13</v>
      </c>
      <c r="E2637" t="s">
        <v>80</v>
      </c>
      <c r="F2637">
        <v>0</v>
      </c>
    </row>
    <row r="2638" spans="1:6">
      <c r="A2638" t="s">
        <v>2728</v>
      </c>
      <c r="B2638">
        <v>2024</v>
      </c>
      <c r="C2638" s="9">
        <v>43553</v>
      </c>
      <c r="D2638" t="s">
        <v>18</v>
      </c>
      <c r="E2638" t="s">
        <v>80</v>
      </c>
      <c r="F2638">
        <v>0</v>
      </c>
    </row>
    <row r="2639" spans="1:6">
      <c r="A2639" t="s">
        <v>2729</v>
      </c>
      <c r="B2639">
        <v>2024</v>
      </c>
      <c r="C2639" s="9">
        <v>43554</v>
      </c>
      <c r="D2639" t="s">
        <v>20</v>
      </c>
      <c r="E2639" t="s">
        <v>80</v>
      </c>
      <c r="F2639">
        <v>0</v>
      </c>
    </row>
    <row r="2640" spans="1:6">
      <c r="A2640" t="s">
        <v>2730</v>
      </c>
      <c r="B2640">
        <v>2024</v>
      </c>
      <c r="C2640" s="9">
        <v>43555</v>
      </c>
      <c r="D2640" t="s">
        <v>22</v>
      </c>
      <c r="E2640" t="s">
        <v>80</v>
      </c>
      <c r="F2640">
        <v>0</v>
      </c>
    </row>
    <row r="2641" spans="1:6">
      <c r="A2641" t="s">
        <v>2731</v>
      </c>
      <c r="B2641">
        <v>2024</v>
      </c>
      <c r="C2641" s="9">
        <v>43556</v>
      </c>
      <c r="D2641" t="s">
        <v>24</v>
      </c>
      <c r="E2641" t="s">
        <v>80</v>
      </c>
      <c r="F2641">
        <v>0</v>
      </c>
    </row>
    <row r="2642" spans="1:6">
      <c r="A2642" t="s">
        <v>2732</v>
      </c>
      <c r="B2642">
        <v>2024</v>
      </c>
      <c r="C2642" s="9">
        <v>43557</v>
      </c>
      <c r="D2642" t="s">
        <v>7</v>
      </c>
      <c r="E2642" t="s">
        <v>80</v>
      </c>
      <c r="F2642">
        <v>0</v>
      </c>
    </row>
    <row r="2643" spans="1:6">
      <c r="A2643" t="s">
        <v>2733</v>
      </c>
      <c r="B2643">
        <v>2024</v>
      </c>
      <c r="C2643" s="9">
        <v>43558</v>
      </c>
      <c r="D2643" t="s">
        <v>10</v>
      </c>
      <c r="E2643" t="s">
        <v>80</v>
      </c>
      <c r="F2643">
        <v>0</v>
      </c>
    </row>
    <row r="2644" spans="1:6">
      <c r="A2644" t="s">
        <v>2734</v>
      </c>
      <c r="B2644">
        <v>2024</v>
      </c>
      <c r="C2644" s="9">
        <v>43559</v>
      </c>
      <c r="D2644" t="s">
        <v>13</v>
      </c>
      <c r="E2644" t="s">
        <v>112</v>
      </c>
      <c r="F2644">
        <v>0</v>
      </c>
    </row>
    <row r="2645" spans="1:6">
      <c r="A2645" t="s">
        <v>2735</v>
      </c>
      <c r="B2645">
        <v>2024</v>
      </c>
      <c r="C2645" s="9">
        <v>43560</v>
      </c>
      <c r="D2645" t="s">
        <v>18</v>
      </c>
      <c r="E2645" t="s">
        <v>112</v>
      </c>
      <c r="F2645">
        <v>0</v>
      </c>
    </row>
    <row r="2646" spans="1:6">
      <c r="A2646" t="s">
        <v>2736</v>
      </c>
      <c r="B2646">
        <v>2024</v>
      </c>
      <c r="C2646" s="9">
        <v>43561</v>
      </c>
      <c r="D2646" t="s">
        <v>20</v>
      </c>
      <c r="E2646" t="s">
        <v>112</v>
      </c>
      <c r="F2646">
        <v>0</v>
      </c>
    </row>
    <row r="2647" spans="1:6">
      <c r="A2647" t="s">
        <v>2737</v>
      </c>
      <c r="B2647">
        <v>2024</v>
      </c>
      <c r="C2647" s="9">
        <v>43562</v>
      </c>
      <c r="D2647" t="s">
        <v>22</v>
      </c>
      <c r="E2647" t="s">
        <v>112</v>
      </c>
      <c r="F2647">
        <v>0</v>
      </c>
    </row>
    <row r="2648" spans="1:6">
      <c r="A2648" t="s">
        <v>2738</v>
      </c>
      <c r="B2648">
        <v>2024</v>
      </c>
      <c r="C2648" s="9">
        <v>43563</v>
      </c>
      <c r="D2648" t="s">
        <v>24</v>
      </c>
      <c r="E2648" t="s">
        <v>112</v>
      </c>
      <c r="F2648">
        <v>0</v>
      </c>
    </row>
    <row r="2649" spans="1:6">
      <c r="A2649" t="s">
        <v>2739</v>
      </c>
      <c r="B2649">
        <v>2024</v>
      </c>
      <c r="C2649" s="9">
        <v>43564</v>
      </c>
      <c r="D2649" t="s">
        <v>7</v>
      </c>
      <c r="E2649" t="s">
        <v>112</v>
      </c>
      <c r="F2649">
        <v>0</v>
      </c>
    </row>
    <row r="2650" spans="1:6">
      <c r="A2650" t="s">
        <v>2740</v>
      </c>
      <c r="B2650">
        <v>2024</v>
      </c>
      <c r="C2650" s="9">
        <v>43565</v>
      </c>
      <c r="D2650" t="s">
        <v>10</v>
      </c>
      <c r="E2650" t="s">
        <v>112</v>
      </c>
      <c r="F2650">
        <v>0</v>
      </c>
    </row>
    <row r="2651" spans="1:6">
      <c r="A2651" t="s">
        <v>2741</v>
      </c>
      <c r="B2651">
        <v>2024</v>
      </c>
      <c r="C2651" s="9">
        <v>43566</v>
      </c>
      <c r="D2651" t="s">
        <v>13</v>
      </c>
      <c r="E2651" t="s">
        <v>112</v>
      </c>
      <c r="F2651">
        <v>0</v>
      </c>
    </row>
    <row r="2652" spans="1:6">
      <c r="A2652" t="s">
        <v>2742</v>
      </c>
      <c r="B2652">
        <v>2024</v>
      </c>
      <c r="C2652" s="9">
        <v>43567</v>
      </c>
      <c r="D2652" t="s">
        <v>18</v>
      </c>
      <c r="E2652" t="s">
        <v>112</v>
      </c>
      <c r="F2652">
        <v>0</v>
      </c>
    </row>
    <row r="2653" spans="1:6">
      <c r="A2653" t="s">
        <v>2743</v>
      </c>
      <c r="B2653">
        <v>2024</v>
      </c>
      <c r="C2653" s="9">
        <v>43568</v>
      </c>
      <c r="D2653" t="s">
        <v>20</v>
      </c>
      <c r="E2653" t="s">
        <v>112</v>
      </c>
      <c r="F2653">
        <v>0</v>
      </c>
    </row>
    <row r="2654" spans="1:6">
      <c r="A2654" t="s">
        <v>2744</v>
      </c>
      <c r="B2654">
        <v>2024</v>
      </c>
      <c r="C2654" s="9">
        <v>43569</v>
      </c>
      <c r="D2654" t="s">
        <v>22</v>
      </c>
      <c r="E2654" t="s">
        <v>112</v>
      </c>
      <c r="F2654">
        <v>0</v>
      </c>
    </row>
    <row r="2655" spans="1:6">
      <c r="A2655" t="s">
        <v>2745</v>
      </c>
      <c r="B2655">
        <v>2024</v>
      </c>
      <c r="C2655" s="9">
        <v>43570</v>
      </c>
      <c r="D2655" t="s">
        <v>24</v>
      </c>
      <c r="E2655" t="s">
        <v>112</v>
      </c>
      <c r="F2655">
        <v>0</v>
      </c>
    </row>
    <row r="2656" spans="1:6">
      <c r="A2656" t="s">
        <v>2746</v>
      </c>
      <c r="B2656">
        <v>2024</v>
      </c>
      <c r="C2656" s="9">
        <v>43571</v>
      </c>
      <c r="D2656" t="s">
        <v>7</v>
      </c>
      <c r="E2656" t="s">
        <v>112</v>
      </c>
      <c r="F2656">
        <v>0</v>
      </c>
    </row>
    <row r="2657" spans="1:6">
      <c r="A2657" t="s">
        <v>2747</v>
      </c>
      <c r="B2657">
        <v>2024</v>
      </c>
      <c r="C2657" s="9">
        <v>43572</v>
      </c>
      <c r="D2657" t="s">
        <v>10</v>
      </c>
      <c r="E2657" t="s">
        <v>112</v>
      </c>
      <c r="F2657">
        <v>0</v>
      </c>
    </row>
    <row r="2658" spans="1:6">
      <c r="A2658" t="s">
        <v>2748</v>
      </c>
      <c r="B2658">
        <v>2024</v>
      </c>
      <c r="C2658" s="9">
        <v>43573</v>
      </c>
      <c r="D2658" t="s">
        <v>13</v>
      </c>
      <c r="E2658" t="s">
        <v>112</v>
      </c>
      <c r="F2658">
        <v>0</v>
      </c>
    </row>
    <row r="2659" spans="1:6">
      <c r="A2659" t="s">
        <v>2749</v>
      </c>
      <c r="B2659">
        <v>2024</v>
      </c>
      <c r="C2659" s="9">
        <v>43574</v>
      </c>
      <c r="D2659" t="s">
        <v>18</v>
      </c>
      <c r="E2659" t="s">
        <v>112</v>
      </c>
      <c r="F2659">
        <v>0</v>
      </c>
    </row>
    <row r="2660" spans="1:6">
      <c r="A2660" t="s">
        <v>2750</v>
      </c>
      <c r="B2660">
        <v>2024</v>
      </c>
      <c r="C2660" s="9">
        <v>43575</v>
      </c>
      <c r="D2660" t="s">
        <v>20</v>
      </c>
      <c r="E2660" t="s">
        <v>112</v>
      </c>
      <c r="F2660">
        <v>0</v>
      </c>
    </row>
    <row r="2661" spans="1:6">
      <c r="A2661" t="s">
        <v>2751</v>
      </c>
      <c r="B2661">
        <v>2024</v>
      </c>
      <c r="C2661" s="9">
        <v>43576</v>
      </c>
      <c r="D2661" t="s">
        <v>22</v>
      </c>
      <c r="E2661" t="s">
        <v>112</v>
      </c>
      <c r="F2661">
        <v>0</v>
      </c>
    </row>
    <row r="2662" spans="1:6">
      <c r="A2662" t="s">
        <v>2752</v>
      </c>
      <c r="B2662">
        <v>2024</v>
      </c>
      <c r="C2662" s="9">
        <v>43577</v>
      </c>
      <c r="D2662" t="s">
        <v>24</v>
      </c>
      <c r="E2662" t="s">
        <v>112</v>
      </c>
      <c r="F2662">
        <v>0</v>
      </c>
    </row>
    <row r="2663" spans="1:6">
      <c r="A2663" t="s">
        <v>2753</v>
      </c>
      <c r="B2663">
        <v>2024</v>
      </c>
      <c r="C2663" s="9">
        <v>43578</v>
      </c>
      <c r="D2663" t="s">
        <v>7</v>
      </c>
      <c r="E2663" t="s">
        <v>112</v>
      </c>
      <c r="F2663">
        <v>0</v>
      </c>
    </row>
    <row r="2664" spans="1:6">
      <c r="A2664" t="s">
        <v>2754</v>
      </c>
      <c r="B2664">
        <v>2024</v>
      </c>
      <c r="C2664" s="9">
        <v>43579</v>
      </c>
      <c r="D2664" t="s">
        <v>10</v>
      </c>
      <c r="E2664" t="s">
        <v>112</v>
      </c>
      <c r="F2664">
        <v>0</v>
      </c>
    </row>
    <row r="2665" spans="1:6">
      <c r="A2665" t="s">
        <v>2755</v>
      </c>
      <c r="B2665">
        <v>2024</v>
      </c>
      <c r="C2665" s="9">
        <v>43580</v>
      </c>
      <c r="D2665" t="s">
        <v>13</v>
      </c>
      <c r="E2665" t="s">
        <v>112</v>
      </c>
      <c r="F2665">
        <v>0</v>
      </c>
    </row>
    <row r="2666" spans="1:6">
      <c r="A2666" t="s">
        <v>2756</v>
      </c>
      <c r="B2666">
        <v>2024</v>
      </c>
      <c r="C2666" s="9">
        <v>43581</v>
      </c>
      <c r="D2666" t="s">
        <v>18</v>
      </c>
      <c r="E2666" t="s">
        <v>112</v>
      </c>
      <c r="F2666">
        <v>0</v>
      </c>
    </row>
    <row r="2667" spans="1:6">
      <c r="A2667" t="s">
        <v>2757</v>
      </c>
      <c r="B2667">
        <v>2024</v>
      </c>
      <c r="C2667" s="9">
        <v>43582</v>
      </c>
      <c r="D2667" t="s">
        <v>20</v>
      </c>
      <c r="E2667" t="s">
        <v>112</v>
      </c>
      <c r="F2667">
        <v>0</v>
      </c>
    </row>
    <row r="2668" spans="1:6">
      <c r="A2668" t="s">
        <v>2758</v>
      </c>
      <c r="B2668">
        <v>2024</v>
      </c>
      <c r="C2668" s="9">
        <v>43583</v>
      </c>
      <c r="D2668" t="s">
        <v>22</v>
      </c>
      <c r="E2668" t="s">
        <v>112</v>
      </c>
      <c r="F2668">
        <v>0</v>
      </c>
    </row>
    <row r="2669" spans="1:6">
      <c r="A2669" t="s">
        <v>2759</v>
      </c>
      <c r="B2669">
        <v>2024</v>
      </c>
      <c r="C2669" s="9">
        <v>43585</v>
      </c>
      <c r="D2669" t="s">
        <v>7</v>
      </c>
      <c r="E2669" t="s">
        <v>112</v>
      </c>
      <c r="F2669">
        <v>0</v>
      </c>
    </row>
    <row r="2670" spans="1:6">
      <c r="A2670" t="s">
        <v>2760</v>
      </c>
      <c r="B2670">
        <v>2024</v>
      </c>
      <c r="C2670" s="9">
        <v>43586</v>
      </c>
      <c r="D2670" t="s">
        <v>10</v>
      </c>
      <c r="E2670" t="s">
        <v>112</v>
      </c>
      <c r="F2670">
        <v>0</v>
      </c>
    </row>
    <row r="2671" spans="1:6">
      <c r="A2671" t="s">
        <v>2761</v>
      </c>
      <c r="B2671">
        <v>2024</v>
      </c>
      <c r="C2671" s="9">
        <v>43587</v>
      </c>
      <c r="D2671" t="s">
        <v>13</v>
      </c>
      <c r="E2671" t="s">
        <v>112</v>
      </c>
      <c r="F2671">
        <v>0</v>
      </c>
    </row>
    <row r="2672" spans="1:6">
      <c r="A2672" t="s">
        <v>2762</v>
      </c>
      <c r="B2672">
        <v>2024</v>
      </c>
      <c r="C2672" s="9">
        <v>43588</v>
      </c>
      <c r="D2672" t="s">
        <v>18</v>
      </c>
      <c r="E2672" t="s">
        <v>112</v>
      </c>
      <c r="F2672">
        <v>0</v>
      </c>
    </row>
    <row r="2673" spans="1:6">
      <c r="A2673" t="s">
        <v>2763</v>
      </c>
      <c r="B2673">
        <v>2024</v>
      </c>
      <c r="C2673" s="9">
        <v>43589</v>
      </c>
      <c r="D2673" t="s">
        <v>20</v>
      </c>
      <c r="E2673" t="s">
        <v>112</v>
      </c>
      <c r="F2673">
        <v>0</v>
      </c>
    </row>
    <row r="2674" spans="1:6">
      <c r="A2674" t="s">
        <v>2764</v>
      </c>
      <c r="B2674">
        <v>2024</v>
      </c>
      <c r="C2674" s="9">
        <v>43590</v>
      </c>
      <c r="D2674" t="s">
        <v>22</v>
      </c>
      <c r="E2674" t="s">
        <v>112</v>
      </c>
      <c r="F2674">
        <v>0</v>
      </c>
    </row>
    <row r="2675" spans="1:6">
      <c r="A2675" t="s">
        <v>2765</v>
      </c>
      <c r="B2675">
        <v>2024</v>
      </c>
      <c r="C2675" s="9">
        <v>43591</v>
      </c>
      <c r="D2675" t="s">
        <v>24</v>
      </c>
      <c r="E2675" t="s">
        <v>112</v>
      </c>
      <c r="F2675">
        <v>0</v>
      </c>
    </row>
    <row r="2676" spans="1:6">
      <c r="A2676" t="s">
        <v>2766</v>
      </c>
      <c r="B2676">
        <v>2024</v>
      </c>
      <c r="C2676" s="9">
        <v>43592</v>
      </c>
      <c r="D2676" t="s">
        <v>7</v>
      </c>
      <c r="E2676" t="s">
        <v>112</v>
      </c>
      <c r="F2676">
        <v>0</v>
      </c>
    </row>
    <row r="2677" spans="1:6">
      <c r="A2677" t="s">
        <v>2767</v>
      </c>
      <c r="B2677">
        <v>2024</v>
      </c>
      <c r="C2677" s="9">
        <v>43593</v>
      </c>
      <c r="D2677" t="s">
        <v>10</v>
      </c>
      <c r="E2677" t="s">
        <v>112</v>
      </c>
      <c r="F2677">
        <v>0</v>
      </c>
    </row>
    <row r="2678" spans="1:6">
      <c r="A2678" t="s">
        <v>2768</v>
      </c>
      <c r="B2678">
        <v>2019</v>
      </c>
      <c r="C2678" s="9">
        <v>43584</v>
      </c>
      <c r="D2678" t="s">
        <v>24</v>
      </c>
      <c r="E2678" t="s">
        <v>143</v>
      </c>
      <c r="F2678">
        <v>0</v>
      </c>
    </row>
    <row r="2679" spans="1:6">
      <c r="A2679" t="s">
        <v>2769</v>
      </c>
      <c r="B2679">
        <v>2024</v>
      </c>
      <c r="C2679" s="9">
        <v>43594</v>
      </c>
      <c r="D2679" t="s">
        <v>13</v>
      </c>
      <c r="E2679" t="s">
        <v>143</v>
      </c>
      <c r="F2679">
        <v>0</v>
      </c>
    </row>
    <row r="2680" spans="1:6">
      <c r="A2680" t="s">
        <v>2770</v>
      </c>
      <c r="B2680">
        <v>2024</v>
      </c>
      <c r="C2680" s="9">
        <v>43595</v>
      </c>
      <c r="D2680" t="s">
        <v>18</v>
      </c>
      <c r="E2680" t="s">
        <v>143</v>
      </c>
      <c r="F2680">
        <v>0</v>
      </c>
    </row>
    <row r="2681" spans="1:6">
      <c r="A2681" t="s">
        <v>2771</v>
      </c>
      <c r="B2681">
        <v>2024</v>
      </c>
      <c r="C2681" s="9">
        <v>43596</v>
      </c>
      <c r="D2681" t="s">
        <v>20</v>
      </c>
      <c r="E2681" t="s">
        <v>143</v>
      </c>
      <c r="F2681">
        <v>0</v>
      </c>
    </row>
    <row r="2682" spans="1:6">
      <c r="A2682" t="s">
        <v>2772</v>
      </c>
      <c r="B2682">
        <v>2024</v>
      </c>
      <c r="C2682" s="9">
        <v>43597</v>
      </c>
      <c r="D2682" t="s">
        <v>22</v>
      </c>
      <c r="E2682" t="s">
        <v>143</v>
      </c>
      <c r="F2682">
        <v>0</v>
      </c>
    </row>
    <row r="2683" spans="1:6">
      <c r="A2683" t="s">
        <v>2773</v>
      </c>
      <c r="B2683">
        <v>2024</v>
      </c>
      <c r="C2683" s="9">
        <v>43598</v>
      </c>
      <c r="D2683" t="s">
        <v>24</v>
      </c>
      <c r="E2683" t="s">
        <v>143</v>
      </c>
      <c r="F2683">
        <v>0</v>
      </c>
    </row>
    <row r="2684" spans="1:6">
      <c r="A2684" t="s">
        <v>2774</v>
      </c>
      <c r="B2684">
        <v>2024</v>
      </c>
      <c r="C2684" s="9">
        <v>43599</v>
      </c>
      <c r="D2684" t="s">
        <v>7</v>
      </c>
      <c r="E2684" t="s">
        <v>143</v>
      </c>
      <c r="F2684">
        <v>0</v>
      </c>
    </row>
    <row r="2685" spans="1:6">
      <c r="A2685" t="s">
        <v>2775</v>
      </c>
      <c r="B2685">
        <v>2024</v>
      </c>
      <c r="C2685" s="9">
        <v>43600</v>
      </c>
      <c r="D2685" t="s">
        <v>10</v>
      </c>
      <c r="E2685" t="s">
        <v>143</v>
      </c>
      <c r="F2685">
        <v>0</v>
      </c>
    </row>
    <row r="2686" spans="1:6">
      <c r="A2686" t="s">
        <v>2776</v>
      </c>
      <c r="B2686">
        <v>2024</v>
      </c>
      <c r="C2686" s="9">
        <v>43601</v>
      </c>
      <c r="D2686" t="s">
        <v>13</v>
      </c>
      <c r="E2686" t="s">
        <v>143</v>
      </c>
      <c r="F2686">
        <v>0</v>
      </c>
    </row>
    <row r="2687" spans="1:6">
      <c r="A2687" t="s">
        <v>2777</v>
      </c>
      <c r="B2687">
        <v>2024</v>
      </c>
      <c r="C2687" s="9">
        <v>43602</v>
      </c>
      <c r="D2687" t="s">
        <v>18</v>
      </c>
      <c r="E2687" t="s">
        <v>143</v>
      </c>
      <c r="F2687">
        <v>0</v>
      </c>
    </row>
    <row r="2688" spans="1:6">
      <c r="A2688" t="s">
        <v>2778</v>
      </c>
      <c r="B2688">
        <v>2024</v>
      </c>
      <c r="C2688" s="9">
        <v>43603</v>
      </c>
      <c r="D2688" t="s">
        <v>20</v>
      </c>
      <c r="E2688" t="s">
        <v>143</v>
      </c>
      <c r="F2688">
        <v>0</v>
      </c>
    </row>
    <row r="2689" spans="1:6">
      <c r="A2689" t="s">
        <v>2779</v>
      </c>
      <c r="B2689">
        <v>2024</v>
      </c>
      <c r="C2689" s="9">
        <v>43604</v>
      </c>
      <c r="D2689" t="s">
        <v>22</v>
      </c>
      <c r="E2689" t="s">
        <v>143</v>
      </c>
      <c r="F2689">
        <v>0</v>
      </c>
    </row>
    <row r="2690" spans="1:6">
      <c r="A2690" t="s">
        <v>2780</v>
      </c>
      <c r="B2690">
        <v>2024</v>
      </c>
      <c r="C2690" s="9">
        <v>43605</v>
      </c>
      <c r="D2690" t="s">
        <v>24</v>
      </c>
      <c r="E2690" t="s">
        <v>143</v>
      </c>
      <c r="F2690">
        <v>0</v>
      </c>
    </row>
    <row r="2691" spans="1:6">
      <c r="A2691" t="s">
        <v>2781</v>
      </c>
      <c r="B2691">
        <v>2024</v>
      </c>
      <c r="C2691" s="9">
        <v>43606</v>
      </c>
      <c r="D2691" t="s">
        <v>7</v>
      </c>
      <c r="E2691" t="s">
        <v>143</v>
      </c>
      <c r="F2691">
        <v>0</v>
      </c>
    </row>
    <row r="2692" spans="1:6">
      <c r="A2692" t="s">
        <v>2782</v>
      </c>
      <c r="B2692">
        <v>2024</v>
      </c>
      <c r="C2692" s="9">
        <v>43607</v>
      </c>
      <c r="D2692" t="s">
        <v>10</v>
      </c>
      <c r="E2692" t="s">
        <v>143</v>
      </c>
      <c r="F2692">
        <v>0</v>
      </c>
    </row>
    <row r="2693" spans="1:6">
      <c r="A2693" t="s">
        <v>2783</v>
      </c>
      <c r="B2693">
        <v>2024</v>
      </c>
      <c r="C2693" s="9">
        <v>43608</v>
      </c>
      <c r="D2693" t="s">
        <v>13</v>
      </c>
      <c r="E2693" t="s">
        <v>143</v>
      </c>
      <c r="F2693">
        <v>0</v>
      </c>
    </row>
    <row r="2694" spans="1:6">
      <c r="A2694" t="s">
        <v>2784</v>
      </c>
      <c r="B2694">
        <v>2024</v>
      </c>
      <c r="C2694" s="9">
        <v>43609</v>
      </c>
      <c r="D2694" t="s">
        <v>18</v>
      </c>
      <c r="E2694" t="s">
        <v>143</v>
      </c>
      <c r="F2694">
        <v>0</v>
      </c>
    </row>
    <row r="2695" spans="1:6">
      <c r="A2695" t="s">
        <v>2785</v>
      </c>
      <c r="B2695">
        <v>2024</v>
      </c>
      <c r="C2695" s="9">
        <v>43610</v>
      </c>
      <c r="D2695" t="s">
        <v>20</v>
      </c>
      <c r="E2695" t="s">
        <v>143</v>
      </c>
      <c r="F2695">
        <v>0</v>
      </c>
    </row>
    <row r="2696" spans="1:6">
      <c r="A2696" t="s">
        <v>2786</v>
      </c>
      <c r="B2696">
        <v>2024</v>
      </c>
      <c r="C2696" s="9">
        <v>43611</v>
      </c>
      <c r="D2696" t="s">
        <v>22</v>
      </c>
      <c r="E2696" t="s">
        <v>143</v>
      </c>
      <c r="F2696">
        <v>0</v>
      </c>
    </row>
    <row r="2697" spans="1:6">
      <c r="A2697" t="s">
        <v>2787</v>
      </c>
      <c r="B2697">
        <v>2024</v>
      </c>
      <c r="C2697" s="9">
        <v>43613</v>
      </c>
      <c r="D2697" t="s">
        <v>7</v>
      </c>
      <c r="E2697" t="s">
        <v>143</v>
      </c>
      <c r="F2697">
        <v>0</v>
      </c>
    </row>
    <row r="2698" spans="1:6">
      <c r="A2698" t="s">
        <v>2788</v>
      </c>
      <c r="B2698">
        <v>2024</v>
      </c>
      <c r="C2698" s="9">
        <v>43614</v>
      </c>
      <c r="D2698" t="s">
        <v>10</v>
      </c>
      <c r="E2698" t="s">
        <v>143</v>
      </c>
      <c r="F2698">
        <v>0</v>
      </c>
    </row>
    <row r="2699" spans="1:6">
      <c r="A2699" t="s">
        <v>2789</v>
      </c>
      <c r="B2699">
        <v>2024</v>
      </c>
      <c r="C2699" s="9">
        <v>43615</v>
      </c>
      <c r="D2699" t="s">
        <v>13</v>
      </c>
      <c r="E2699" t="s">
        <v>143</v>
      </c>
      <c r="F2699">
        <v>0</v>
      </c>
    </row>
    <row r="2700" spans="1:6">
      <c r="A2700" t="s">
        <v>2790</v>
      </c>
      <c r="B2700">
        <v>2024</v>
      </c>
      <c r="C2700" s="9">
        <v>43616</v>
      </c>
      <c r="D2700" t="s">
        <v>18</v>
      </c>
      <c r="E2700" t="s">
        <v>143</v>
      </c>
      <c r="F2700">
        <v>0</v>
      </c>
    </row>
    <row r="2701" spans="1:6">
      <c r="A2701" t="s">
        <v>2791</v>
      </c>
      <c r="B2701">
        <v>2024</v>
      </c>
      <c r="C2701" s="9">
        <v>43617</v>
      </c>
      <c r="D2701" t="s">
        <v>20</v>
      </c>
      <c r="E2701" t="s">
        <v>143</v>
      </c>
      <c r="F2701">
        <v>0</v>
      </c>
    </row>
    <row r="2702" spans="1:6">
      <c r="A2702" t="s">
        <v>2792</v>
      </c>
      <c r="B2702">
        <v>2024</v>
      </c>
      <c r="C2702" s="9">
        <v>43618</v>
      </c>
      <c r="D2702" t="s">
        <v>22</v>
      </c>
      <c r="E2702" t="s">
        <v>143</v>
      </c>
      <c r="F2702">
        <v>0</v>
      </c>
    </row>
    <row r="2703" spans="1:6">
      <c r="A2703" t="s">
        <v>2793</v>
      </c>
      <c r="B2703">
        <v>2024</v>
      </c>
      <c r="C2703" s="9">
        <v>43619</v>
      </c>
      <c r="D2703" t="s">
        <v>24</v>
      </c>
      <c r="E2703" t="s">
        <v>143</v>
      </c>
      <c r="F2703">
        <v>0</v>
      </c>
    </row>
    <row r="2704" spans="1:6">
      <c r="A2704" t="s">
        <v>2794</v>
      </c>
      <c r="B2704">
        <v>2024</v>
      </c>
      <c r="C2704" s="9">
        <v>43620</v>
      </c>
      <c r="D2704" t="s">
        <v>7</v>
      </c>
      <c r="E2704" t="s">
        <v>143</v>
      </c>
      <c r="F2704">
        <v>0</v>
      </c>
    </row>
    <row r="2705" spans="1:6">
      <c r="A2705" t="s">
        <v>2795</v>
      </c>
      <c r="B2705">
        <v>2024</v>
      </c>
      <c r="C2705" s="9">
        <v>43621</v>
      </c>
      <c r="D2705" t="s">
        <v>10</v>
      </c>
      <c r="E2705" t="s">
        <v>143</v>
      </c>
      <c r="F2705">
        <v>0</v>
      </c>
    </row>
    <row r="2706" spans="1:6">
      <c r="A2706" t="s">
        <v>2796</v>
      </c>
      <c r="B2706">
        <v>2019</v>
      </c>
      <c r="C2706" s="9">
        <v>43612</v>
      </c>
      <c r="D2706" t="s">
        <v>24</v>
      </c>
      <c r="E2706" t="s">
        <v>174</v>
      </c>
      <c r="F2706">
        <v>0</v>
      </c>
    </row>
    <row r="2707" spans="1:6">
      <c r="A2707" t="s">
        <v>2797</v>
      </c>
      <c r="B2707">
        <v>2024</v>
      </c>
      <c r="C2707" s="9">
        <v>43622</v>
      </c>
      <c r="D2707" t="s">
        <v>13</v>
      </c>
      <c r="E2707" t="s">
        <v>174</v>
      </c>
      <c r="F2707">
        <v>0</v>
      </c>
    </row>
    <row r="2708" spans="1:6">
      <c r="A2708" t="s">
        <v>2798</v>
      </c>
      <c r="B2708">
        <v>2024</v>
      </c>
      <c r="C2708" s="9">
        <v>43623</v>
      </c>
      <c r="D2708" t="s">
        <v>18</v>
      </c>
      <c r="E2708" t="s">
        <v>174</v>
      </c>
      <c r="F2708">
        <v>0</v>
      </c>
    </row>
    <row r="2709" spans="1:6">
      <c r="A2709" t="s">
        <v>2799</v>
      </c>
      <c r="B2709">
        <v>2024</v>
      </c>
      <c r="C2709" s="9">
        <v>43624</v>
      </c>
      <c r="D2709" t="s">
        <v>20</v>
      </c>
      <c r="E2709" t="s">
        <v>174</v>
      </c>
      <c r="F2709">
        <v>0</v>
      </c>
    </row>
    <row r="2710" spans="1:6">
      <c r="A2710" t="s">
        <v>2800</v>
      </c>
      <c r="B2710">
        <v>2024</v>
      </c>
      <c r="C2710" s="9">
        <v>43625</v>
      </c>
      <c r="D2710" t="s">
        <v>22</v>
      </c>
      <c r="E2710" t="s">
        <v>174</v>
      </c>
      <c r="F2710">
        <v>0</v>
      </c>
    </row>
    <row r="2711" spans="1:6">
      <c r="A2711" t="s">
        <v>2801</v>
      </c>
      <c r="B2711">
        <v>2024</v>
      </c>
      <c r="C2711" s="9">
        <v>43626</v>
      </c>
      <c r="D2711" t="s">
        <v>24</v>
      </c>
      <c r="E2711" t="s">
        <v>174</v>
      </c>
      <c r="F2711">
        <v>0</v>
      </c>
    </row>
    <row r="2712" spans="1:6">
      <c r="A2712" t="s">
        <v>2802</v>
      </c>
      <c r="B2712">
        <v>2024</v>
      </c>
      <c r="C2712" s="9">
        <v>43627</v>
      </c>
      <c r="D2712" t="s">
        <v>7</v>
      </c>
      <c r="E2712" t="s">
        <v>174</v>
      </c>
      <c r="F2712">
        <v>0</v>
      </c>
    </row>
    <row r="2713" spans="1:6">
      <c r="A2713" t="s">
        <v>2803</v>
      </c>
      <c r="B2713">
        <v>2024</v>
      </c>
      <c r="C2713" s="9">
        <v>43628</v>
      </c>
      <c r="D2713" t="s">
        <v>10</v>
      </c>
      <c r="E2713" t="s">
        <v>174</v>
      </c>
      <c r="F2713">
        <v>0</v>
      </c>
    </row>
    <row r="2714" spans="1:6">
      <c r="A2714" t="s">
        <v>2804</v>
      </c>
      <c r="B2714">
        <v>2024</v>
      </c>
      <c r="C2714" s="9">
        <v>43629</v>
      </c>
      <c r="D2714" t="s">
        <v>13</v>
      </c>
      <c r="E2714" t="s">
        <v>174</v>
      </c>
      <c r="F2714">
        <v>0</v>
      </c>
    </row>
    <row r="2715" spans="1:6">
      <c r="A2715" t="s">
        <v>2805</v>
      </c>
      <c r="B2715">
        <v>2024</v>
      </c>
      <c r="C2715" s="9">
        <v>43630</v>
      </c>
      <c r="D2715" t="s">
        <v>18</v>
      </c>
      <c r="E2715" t="s">
        <v>174</v>
      </c>
      <c r="F2715">
        <v>0</v>
      </c>
    </row>
    <row r="2716" spans="1:6">
      <c r="A2716" t="s">
        <v>2806</v>
      </c>
      <c r="B2716">
        <v>2024</v>
      </c>
      <c r="C2716" s="9">
        <v>43631</v>
      </c>
      <c r="D2716" t="s">
        <v>20</v>
      </c>
      <c r="E2716" t="s">
        <v>174</v>
      </c>
      <c r="F2716">
        <v>0</v>
      </c>
    </row>
    <row r="2717" spans="1:6">
      <c r="A2717" t="s">
        <v>2807</v>
      </c>
      <c r="B2717">
        <v>2024</v>
      </c>
      <c r="C2717" s="9">
        <v>43632</v>
      </c>
      <c r="D2717" t="s">
        <v>22</v>
      </c>
      <c r="E2717" t="s">
        <v>174</v>
      </c>
      <c r="F2717">
        <v>0</v>
      </c>
    </row>
    <row r="2718" spans="1:6">
      <c r="A2718" t="s">
        <v>2808</v>
      </c>
      <c r="B2718">
        <v>2024</v>
      </c>
      <c r="C2718" s="9">
        <v>43633</v>
      </c>
      <c r="D2718" t="s">
        <v>24</v>
      </c>
      <c r="E2718" t="s">
        <v>174</v>
      </c>
      <c r="F2718">
        <v>0</v>
      </c>
    </row>
    <row r="2719" spans="1:6">
      <c r="A2719" t="s">
        <v>2809</v>
      </c>
      <c r="B2719">
        <v>2024</v>
      </c>
      <c r="C2719" s="9">
        <v>43634</v>
      </c>
      <c r="D2719" t="s">
        <v>7</v>
      </c>
      <c r="E2719" t="s">
        <v>174</v>
      </c>
      <c r="F2719">
        <v>0</v>
      </c>
    </row>
    <row r="2720" spans="1:6">
      <c r="A2720" t="s">
        <v>2810</v>
      </c>
      <c r="B2720">
        <v>2024</v>
      </c>
      <c r="C2720" s="9">
        <v>43635</v>
      </c>
      <c r="D2720" t="s">
        <v>10</v>
      </c>
      <c r="E2720" t="s">
        <v>174</v>
      </c>
      <c r="F2720">
        <v>0</v>
      </c>
    </row>
    <row r="2721" spans="1:6">
      <c r="A2721" t="s">
        <v>2811</v>
      </c>
      <c r="B2721">
        <v>2024</v>
      </c>
      <c r="C2721" s="9">
        <v>43636</v>
      </c>
      <c r="D2721" t="s">
        <v>13</v>
      </c>
      <c r="E2721" t="s">
        <v>174</v>
      </c>
      <c r="F2721">
        <v>0</v>
      </c>
    </row>
    <row r="2722" spans="1:6">
      <c r="A2722" t="s">
        <v>2812</v>
      </c>
      <c r="B2722">
        <v>2024</v>
      </c>
      <c r="C2722" s="9">
        <v>43637</v>
      </c>
      <c r="D2722" t="s">
        <v>18</v>
      </c>
      <c r="E2722" t="s">
        <v>174</v>
      </c>
      <c r="F2722">
        <v>0</v>
      </c>
    </row>
    <row r="2723" spans="1:6">
      <c r="A2723" t="s">
        <v>2813</v>
      </c>
      <c r="B2723">
        <v>2024</v>
      </c>
      <c r="C2723" s="9">
        <v>43638</v>
      </c>
      <c r="D2723" t="s">
        <v>20</v>
      </c>
      <c r="E2723" t="s">
        <v>174</v>
      </c>
      <c r="F2723">
        <v>0</v>
      </c>
    </row>
    <row r="2724" spans="1:6">
      <c r="A2724" t="s">
        <v>2814</v>
      </c>
      <c r="B2724">
        <v>2024</v>
      </c>
      <c r="C2724" s="9">
        <v>43639</v>
      </c>
      <c r="D2724" t="s">
        <v>22</v>
      </c>
      <c r="E2724" t="s">
        <v>174</v>
      </c>
      <c r="F2724">
        <v>0</v>
      </c>
    </row>
    <row r="2725" spans="1:6">
      <c r="A2725" t="s">
        <v>2815</v>
      </c>
      <c r="B2725">
        <v>2024</v>
      </c>
      <c r="C2725" s="9">
        <v>43640</v>
      </c>
      <c r="D2725" t="s">
        <v>24</v>
      </c>
      <c r="E2725" t="s">
        <v>174</v>
      </c>
      <c r="F2725">
        <v>0</v>
      </c>
    </row>
    <row r="2726" spans="1:6">
      <c r="A2726" t="s">
        <v>2816</v>
      </c>
      <c r="B2726">
        <v>2024</v>
      </c>
      <c r="C2726" s="9">
        <v>43641</v>
      </c>
      <c r="D2726" t="s">
        <v>7</v>
      </c>
      <c r="E2726" t="s">
        <v>174</v>
      </c>
      <c r="F2726">
        <v>0</v>
      </c>
    </row>
    <row r="2727" spans="1:6">
      <c r="A2727" t="s">
        <v>2817</v>
      </c>
      <c r="B2727">
        <v>2024</v>
      </c>
      <c r="C2727" s="9">
        <v>43642</v>
      </c>
      <c r="D2727" t="s">
        <v>10</v>
      </c>
      <c r="E2727" t="s">
        <v>174</v>
      </c>
      <c r="F2727">
        <v>0</v>
      </c>
    </row>
    <row r="2728" spans="1:6">
      <c r="A2728" t="s">
        <v>2818</v>
      </c>
      <c r="B2728">
        <v>2024</v>
      </c>
      <c r="C2728" s="9">
        <v>43643</v>
      </c>
      <c r="D2728" t="s">
        <v>13</v>
      </c>
      <c r="E2728" t="s">
        <v>174</v>
      </c>
      <c r="F2728">
        <v>0</v>
      </c>
    </row>
    <row r="2729" spans="1:6">
      <c r="A2729" t="s">
        <v>2819</v>
      </c>
      <c r="B2729">
        <v>2024</v>
      </c>
      <c r="C2729" s="9">
        <v>43644</v>
      </c>
      <c r="D2729" t="s">
        <v>18</v>
      </c>
      <c r="E2729" t="s">
        <v>174</v>
      </c>
      <c r="F2729">
        <v>0</v>
      </c>
    </row>
    <row r="2730" spans="1:6">
      <c r="A2730" t="s">
        <v>2820</v>
      </c>
      <c r="B2730">
        <v>2024</v>
      </c>
      <c r="C2730" s="9">
        <v>43645</v>
      </c>
      <c r="D2730" t="s">
        <v>20</v>
      </c>
      <c r="E2730" t="s">
        <v>174</v>
      </c>
      <c r="F2730">
        <v>0</v>
      </c>
    </row>
    <row r="2731" spans="1:6">
      <c r="A2731" t="s">
        <v>2821</v>
      </c>
      <c r="B2731">
        <v>2024</v>
      </c>
      <c r="C2731" s="9">
        <v>43646</v>
      </c>
      <c r="D2731" t="s">
        <v>22</v>
      </c>
      <c r="E2731" t="s">
        <v>174</v>
      </c>
      <c r="F2731">
        <v>0</v>
      </c>
    </row>
    <row r="2732" spans="1:6">
      <c r="A2732" t="s">
        <v>2822</v>
      </c>
      <c r="B2732">
        <v>2020</v>
      </c>
      <c r="C2732" s="9">
        <v>43983</v>
      </c>
      <c r="D2732" t="s">
        <v>24</v>
      </c>
      <c r="E2732" t="s">
        <v>174</v>
      </c>
      <c r="F2732">
        <v>0</v>
      </c>
    </row>
    <row r="2733" spans="1:6">
      <c r="A2733" t="s">
        <v>2823</v>
      </c>
      <c r="B2733">
        <v>2263</v>
      </c>
      <c r="C2733" s="9">
        <v>132876</v>
      </c>
      <c r="E2733" t="s">
        <v>2824</v>
      </c>
      <c r="F2733">
        <v>0</v>
      </c>
    </row>
    <row r="2734" spans="1:6">
      <c r="A2734" t="s">
        <v>2825</v>
      </c>
      <c r="B2734">
        <v>2025</v>
      </c>
      <c r="C2734" s="9">
        <v>46015</v>
      </c>
      <c r="D2734" t="s">
        <v>10</v>
      </c>
      <c r="E2734" t="s">
        <v>358</v>
      </c>
      <c r="F2734">
        <v>552.4</v>
      </c>
    </row>
    <row r="2735" spans="1:6">
      <c r="A2735" t="s">
        <v>2826</v>
      </c>
      <c r="B2735">
        <v>2025</v>
      </c>
      <c r="C2735" s="9">
        <v>46017</v>
      </c>
      <c r="D2735" t="s">
        <v>18</v>
      </c>
      <c r="E2735" t="s">
        <v>358</v>
      </c>
      <c r="F2735">
        <v>600</v>
      </c>
    </row>
  </sheetData>
  <conditionalFormatting sqref="K723">
    <cfRule type="duplicateValues" dxfId="73" priority="2"/>
  </conditionalFormatting>
  <conditionalFormatting sqref="A1:XFD1048576">
    <cfRule type="duplicateValues" dxfId="72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tourAccueil">
                <anchor moveWithCells="1" sizeWithCells="1">
                  <from>
                    <xdr:col>0</xdr:col>
                    <xdr:colOff>121920</xdr:colOff>
                    <xdr:row>0</xdr:row>
                    <xdr:rowOff>121920</xdr:rowOff>
                  </from>
                  <to>
                    <xdr:col>0</xdr:col>
                    <xdr:colOff>1143000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251D6-91DA-4EEF-8111-C10C4D62CE38}">
  <sheetPr codeName="Feuil17"/>
  <dimension ref="A1:R43"/>
  <sheetViews>
    <sheetView showGridLines="0" topLeftCell="B1" workbookViewId="0">
      <selection activeCell="B10" sqref="B10:O13"/>
    </sheetView>
  </sheetViews>
  <sheetFormatPr baseColWidth="10" defaultColWidth="8.88671875" defaultRowHeight="14.4"/>
  <cols>
    <col min="1" max="1" width="0.33203125" customWidth="1"/>
    <col min="2" max="2" width="12.88671875" customWidth="1"/>
    <col min="3" max="3" width="12.109375" customWidth="1"/>
    <col min="4" max="4" width="13" customWidth="1"/>
    <col min="5" max="5" width="8.77734375" customWidth="1"/>
    <col min="6" max="6" width="13" customWidth="1"/>
    <col min="7" max="7" width="7.88671875" customWidth="1"/>
    <col min="8" max="8" width="15.6640625" customWidth="1"/>
    <col min="9" max="9" width="2.88671875" customWidth="1"/>
    <col min="10" max="11" width="2" customWidth="1"/>
    <col min="14" max="14" width="8.88671875" customWidth="1"/>
    <col min="15" max="15" width="13.33203125" customWidth="1"/>
    <col min="18" max="18" width="12.44140625" hidden="1" customWidth="1"/>
  </cols>
  <sheetData>
    <row r="1" spans="1:18" ht="40.049999999999997" customHeight="1">
      <c r="A1" s="87" t="s">
        <v>760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</row>
    <row r="2" spans="1:18" ht="25.05" customHeight="1">
      <c r="A2" s="88" t="s">
        <v>760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R2" t="str">
        <f>IF(OR(juillet!E4=2019,juillet!E4=2020)," Il faut prendre en compte l'impact du confinement lié au Covid-19.","")</f>
        <v/>
      </c>
    </row>
    <row r="3" spans="1:18">
      <c r="A3" s="90" t="s">
        <v>774</v>
      </c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</row>
    <row r="5" spans="1:18" ht="25.05" customHeight="1">
      <c r="A5" s="96" t="str">
        <f>"📊 INDICATEURS CLÉS - " &amp; TEXT(D16,"jj/mm/aaaa")</f>
        <v>📊 INDICATEURS CLÉS - 2025/2026</v>
      </c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</row>
    <row r="7" spans="1:18">
      <c r="B7" s="83" t="s">
        <v>773</v>
      </c>
      <c r="C7" s="84"/>
      <c r="D7" s="81" t="s">
        <v>772</v>
      </c>
      <c r="E7" s="82"/>
      <c r="F7" s="81" t="s">
        <v>771</v>
      </c>
      <c r="G7" s="82"/>
      <c r="H7" s="95" t="s">
        <v>770</v>
      </c>
      <c r="I7" s="84"/>
      <c r="J7" s="98" t="s">
        <v>769</v>
      </c>
      <c r="K7" s="99"/>
      <c r="L7" s="99"/>
      <c r="M7" s="100"/>
      <c r="N7" s="83" t="s">
        <v>768</v>
      </c>
      <c r="O7" s="104"/>
    </row>
    <row r="8" spans="1:18" ht="26.4" customHeight="1">
      <c r="B8" s="91">
        <f ca="1">D29</f>
        <v>78275.7</v>
      </c>
      <c r="C8" s="92"/>
      <c r="D8" s="107">
        <f ca="1">IFERROR(INDEX(Données!F:F,MATCH($D$4&amp;"|"&amp;TEXT(B8,"aaaa-mm-jj"),Données!A:A,0)),0)</f>
        <v>0</v>
      </c>
      <c r="E8" s="108"/>
      <c r="F8" s="93" t="str">
        <f ca="1">INDEX(B17:B28,MATCH(MAX(D17:D28),D17:D28,0))</f>
        <v>Octobre</v>
      </c>
      <c r="G8" s="94"/>
      <c r="H8" s="109">
        <f ca="1">D29/12</f>
        <v>6522.9749999999995</v>
      </c>
      <c r="I8" s="110"/>
      <c r="J8" s="101">
        <f>C43</f>
        <v>126</v>
      </c>
      <c r="K8" s="102"/>
      <c r="L8" s="102"/>
      <c r="M8" s="103"/>
      <c r="N8" s="105">
        <f>D43/C43</f>
        <v>621.23571428571427</v>
      </c>
      <c r="O8" s="106"/>
    </row>
    <row r="9" spans="1:18" ht="23.4" customHeight="1">
      <c r="B9" s="4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</row>
    <row r="10" spans="1:18" ht="23.4" customHeight="1">
      <c r="B10" s="85" t="str">
        <f ca="1">"Pour l'exercice " &amp; (juillet!E4) &amp; "/" &amp; (juillet!E4+1) &amp; ", l'activité enregistre un chiffre d'affaires de " &amp; TEXT(IFERROR(B8,0),"# ##0,00 €") &amp; ", contre " &amp; TEXT(IFERROR(C29,0),"# ##0,00 €") &amp; " lors de l'exercice précédent. Soit une " &amp; IF(IFERROR(D8,0)&gt;=0,"hausse de ", "baisse de ") &amp; TEXT(ABS(IFERROR(D8,0)),"0,0%") &amp; ". Le mois le plus performant de l'exercice en cours est " &amp; IFERROR(F8,"-") &amp; ", tandis que l'année dernière, le mois était en " &amp; IFERROR(INDEX(B17:B28,MATCH(MAX(C17:C28),C17:C28,0)),"-") &amp; ". La moyenne mensuelle du chiffre d'affaires s'établit à " &amp; TEXT(IFERROR(H8,0),"# ##0,00 €") &amp; ", contre " &amp; TEXT(IFERROR(C29,0)/12,"# ##0,00 €") &amp; " pour l'exercice précédent. En moyenne, l'activité génère " &amp; TEXT(IFERROR(N8,0),"#,#0 €") &amp; " sur " &amp; TEXT(IFERROR(J8,0),"#") &amp; " jours travaillés." &amp; IFERROR(R2,"")</f>
        <v>Pour l'exercice 2025/2026, l'activité enregistre un chiffre d'affaires de 78 275,70 €, contre 151 284,60 € lors de l'exercice précédent. Soit une hausse de 0,0%. Le mois le plus performant de l'exercice en cours est Octobre, tandis que l'année dernière, le mois était en Décembre. La moyenne mensuelle du chiffre d'affaires s'établit à 6 522,98 €, contre 12 607,05 € pour l'exercice précédent. En moyenne, l'activité génère 621,24 € sur 126 jours travaillés.</v>
      </c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</row>
    <row r="11" spans="1:18" ht="23.4" customHeight="1"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</row>
    <row r="12" spans="1:18" ht="23.4" customHeight="1"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</row>
    <row r="13" spans="1:18" ht="23.4" customHeight="1"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</row>
    <row r="14" spans="1:18" ht="20.399999999999999" customHeight="1">
      <c r="E14" t="str">
        <f>IFERROR(INDEX(Données!F:F,MATCH($E$4&amp;"|"&amp;TEXT(C14,"aaaa-mm-jj"),Données!A:A,0)),"")</f>
        <v/>
      </c>
    </row>
    <row r="15" spans="1:18" ht="25.2" customHeight="1">
      <c r="B15" s="96" t="s">
        <v>767</v>
      </c>
      <c r="C15" s="97"/>
      <c r="D15" s="97"/>
      <c r="E15" s="97"/>
      <c r="F15" s="97"/>
    </row>
    <row r="16" spans="1:18">
      <c r="B16" s="24" t="s">
        <v>4</v>
      </c>
      <c r="C16" s="24" t="str">
        <f>juillet!D4 &amp; "/" &amp; (juillet!D4+1)</f>
        <v>2024/2025</v>
      </c>
      <c r="D16" s="24" t="str">
        <f>juillet!E4 &amp; "/" &amp; (juillet!E4+1)</f>
        <v>2025/2026</v>
      </c>
      <c r="E16" s="24" t="s">
        <v>766</v>
      </c>
      <c r="F16" s="24" t="s">
        <v>765</v>
      </c>
    </row>
    <row r="17" spans="2:6">
      <c r="B17" s="23" t="s">
        <v>745</v>
      </c>
      <c r="C17" s="36" cm="1">
        <f t="array" aca="1" ref="C17" ca="1">INDIRECT("'" &amp; B17 &amp; "'!D54")</f>
        <v>11038</v>
      </c>
      <c r="D17" s="35" cm="1">
        <f t="array" aca="1" ref="D17" ca="1">INDIRECT("'" &amp; B17 &amp; "'!E54")</f>
        <v>13907.8</v>
      </c>
      <c r="E17" s="22">
        <f ca="1">D17-C17</f>
        <v>2869.7999999999993</v>
      </c>
      <c r="F17" s="21">
        <f ca="1">IF(C17=0,"",(D17/C17)-1)</f>
        <v>0.25999275231020103</v>
      </c>
    </row>
    <row r="18" spans="2:6">
      <c r="B18" s="23" t="s">
        <v>746</v>
      </c>
      <c r="C18" s="36" cm="1">
        <f t="array" aca="1" ref="C18" ca="1">INDIRECT("'" &amp; B18 &amp; "'!D54")</f>
        <v>12715.5</v>
      </c>
      <c r="D18" s="35" cm="1">
        <f t="array" aca="1" ref="D18" ca="1">INDIRECT("'" &amp; B18 &amp; "'!E54")</f>
        <v>13436</v>
      </c>
      <c r="E18" s="22">
        <f t="shared" ref="E18:E29" ca="1" si="0">D18-C18</f>
        <v>720.5</v>
      </c>
      <c r="F18" s="21">
        <f t="shared" ref="F18:F29" ca="1" si="1">IF(C18=0,"",(D18/C18)-1)</f>
        <v>5.6663127678817204E-2</v>
      </c>
    </row>
    <row r="19" spans="2:6">
      <c r="B19" s="23" t="s">
        <v>747</v>
      </c>
      <c r="C19" s="36" cm="1">
        <f t="array" aca="1" ref="C19" ca="1">INDIRECT("'" &amp; B19 &amp; "'!D54")</f>
        <v>11018.599999999999</v>
      </c>
      <c r="D19" s="35" cm="1">
        <f t="array" aca="1" ref="D19" ca="1">INDIRECT("'" &amp; B19 &amp; "'!E54")</f>
        <v>11553.2</v>
      </c>
      <c r="E19" s="22">
        <f t="shared" ca="1" si="0"/>
        <v>534.60000000000218</v>
      </c>
      <c r="F19" s="21">
        <f t="shared" ca="1" si="1"/>
        <v>4.8517960539451677E-2</v>
      </c>
    </row>
    <row r="20" spans="2:6">
      <c r="B20" s="23" t="s">
        <v>748</v>
      </c>
      <c r="C20" s="36" cm="1">
        <f t="array" aca="1" ref="C20" ca="1">INDIRECT("'" &amp; B20 &amp; "'!D54")</f>
        <v>11414.5</v>
      </c>
      <c r="D20" s="35" cm="1">
        <f t="array" aca="1" ref="D20" ca="1">INDIRECT("'" &amp; B20 &amp; "'!E54")</f>
        <v>15083.4</v>
      </c>
      <c r="E20" s="22">
        <f t="shared" ca="1" si="0"/>
        <v>3668.8999999999996</v>
      </c>
      <c r="F20" s="21">
        <f t="shared" ca="1" si="1"/>
        <v>0.32142450392045196</v>
      </c>
    </row>
    <row r="21" spans="2:6">
      <c r="B21" s="23" t="s">
        <v>749</v>
      </c>
      <c r="C21" s="36" cm="1">
        <f t="array" aca="1" ref="C21" ca="1">INDIRECT("'" &amp; B21 &amp; "'!D54")</f>
        <v>11730</v>
      </c>
      <c r="D21" s="35" cm="1">
        <f t="array" aca="1" ref="D21" ca="1">INDIRECT("'" &amp; B21 &amp; "'!E54")</f>
        <v>10656.4</v>
      </c>
      <c r="E21" s="22">
        <f t="shared" ca="1" si="0"/>
        <v>-1073.6000000000004</v>
      </c>
      <c r="F21" s="21">
        <f t="shared" ca="1" si="1"/>
        <v>-9.1526001705029891E-2</v>
      </c>
    </row>
    <row r="22" spans="2:6">
      <c r="B22" s="23" t="s">
        <v>750</v>
      </c>
      <c r="C22" s="36" cm="1">
        <f t="array" aca="1" ref="C22" ca="1">INDIRECT("'" &amp; B22 &amp; "'!D54")</f>
        <v>15272.4</v>
      </c>
      <c r="D22" s="35" cm="1">
        <f t="array" aca="1" ref="D22" ca="1">INDIRECT("'" &amp; B22 &amp; "'!E54")</f>
        <v>13638.9</v>
      </c>
      <c r="E22" s="22">
        <f t="shared" ca="1" si="0"/>
        <v>-1633.5</v>
      </c>
      <c r="F22" s="21">
        <f t="shared" ca="1" si="1"/>
        <v>-0.10695764909248051</v>
      </c>
    </row>
    <row r="23" spans="2:6">
      <c r="B23" s="23" t="s">
        <v>751</v>
      </c>
      <c r="C23" s="36" cm="1">
        <f t="array" aca="1" ref="C23" ca="1">INDIRECT("'" &amp; B23 &amp; "'!D54")</f>
        <v>12706.300000000001</v>
      </c>
      <c r="D23" s="35" cm="1">
        <f t="array" aca="1" ref="D23" ca="1">INDIRECT("'" &amp; B23 &amp; "'!E54")</f>
        <v>0</v>
      </c>
      <c r="E23" s="22">
        <f t="shared" ca="1" si="0"/>
        <v>-12706.300000000001</v>
      </c>
      <c r="F23" s="21">
        <f t="shared" ca="1" si="1"/>
        <v>-1</v>
      </c>
    </row>
    <row r="24" spans="2:6">
      <c r="B24" s="23" t="s">
        <v>752</v>
      </c>
      <c r="C24" s="36" cm="1">
        <f t="array" aca="1" ref="C24" ca="1">INDIRECT("'" &amp; B24 &amp; "'!D54")</f>
        <v>13401.6</v>
      </c>
      <c r="D24" s="35" cm="1">
        <f t="array" aca="1" ref="D24" ca="1">INDIRECT("'" &amp; B24 &amp; "'!E54")</f>
        <v>0</v>
      </c>
      <c r="E24" s="22">
        <f t="shared" ca="1" si="0"/>
        <v>-13401.6</v>
      </c>
      <c r="F24" s="21">
        <f t="shared" ca="1" si="1"/>
        <v>-1</v>
      </c>
    </row>
    <row r="25" spans="2:6">
      <c r="B25" s="23" t="s">
        <v>753</v>
      </c>
      <c r="C25" s="36" cm="1">
        <f t="array" aca="1" ref="C25" ca="1">INDIRECT("'" &amp; B25 &amp; "'!D54")</f>
        <v>10553.7</v>
      </c>
      <c r="D25" s="35" cm="1">
        <f t="array" aca="1" ref="D25" ca="1">INDIRECT("'" &amp; B25 &amp; "'!E54")</f>
        <v>0</v>
      </c>
      <c r="E25" s="22">
        <f t="shared" ca="1" si="0"/>
        <v>-10553.7</v>
      </c>
      <c r="F25" s="21">
        <f t="shared" ca="1" si="1"/>
        <v>-1</v>
      </c>
    </row>
    <row r="26" spans="2:6">
      <c r="B26" s="23" t="s">
        <v>754</v>
      </c>
      <c r="C26" s="36" cm="1">
        <f t="array" aca="1" ref="C26" ca="1">INDIRECT("'" &amp; B26 &amp; "'!D54")</f>
        <v>13874.699999999999</v>
      </c>
      <c r="D26" s="35" cm="1">
        <f t="array" aca="1" ref="D26" ca="1">INDIRECT("'" &amp; B26 &amp; "'!E54")</f>
        <v>0</v>
      </c>
      <c r="E26" s="22">
        <f t="shared" ca="1" si="0"/>
        <v>-13874.699999999999</v>
      </c>
      <c r="F26" s="21">
        <f t="shared" ca="1" si="1"/>
        <v>-1</v>
      </c>
    </row>
    <row r="27" spans="2:6">
      <c r="B27" s="23" t="s">
        <v>755</v>
      </c>
      <c r="C27" s="36" cm="1">
        <f t="array" aca="1" ref="C27" ca="1">INDIRECT("'" &amp; B27 &amp; "'!D54")</f>
        <v>13337.1</v>
      </c>
      <c r="D27" s="35" cm="1">
        <f t="array" aca="1" ref="D27" ca="1">INDIRECT("'" &amp; B27 &amp; "'!E54")</f>
        <v>0</v>
      </c>
      <c r="E27" s="22">
        <f t="shared" ca="1" si="0"/>
        <v>-13337.1</v>
      </c>
      <c r="F27" s="21">
        <f t="shared" ca="1" si="1"/>
        <v>-1</v>
      </c>
    </row>
    <row r="28" spans="2:6">
      <c r="B28" s="23" t="s">
        <v>756</v>
      </c>
      <c r="C28" s="36" cm="1">
        <f t="array" aca="1" ref="C28" ca="1">INDIRECT("'" &amp; B28 &amp; "'!D54")</f>
        <v>14222.2</v>
      </c>
      <c r="D28" s="35" cm="1">
        <f t="array" aca="1" ref="D28" ca="1">INDIRECT("'" &amp; B28 &amp; "'!E54")</f>
        <v>0</v>
      </c>
      <c r="E28" s="22">
        <f t="shared" ca="1" si="0"/>
        <v>-14222.2</v>
      </c>
      <c r="F28" s="21">
        <f t="shared" ca="1" si="1"/>
        <v>-1</v>
      </c>
    </row>
    <row r="29" spans="2:6">
      <c r="B29" s="31" t="s">
        <v>757</v>
      </c>
      <c r="C29" s="37">
        <f ca="1">SUM(C17:C28)</f>
        <v>151284.6</v>
      </c>
      <c r="D29" s="37">
        <f ca="1">SUM(D17:D28)</f>
        <v>78275.7</v>
      </c>
      <c r="E29" s="32">
        <f t="shared" ca="1" si="0"/>
        <v>-73008.900000000009</v>
      </c>
      <c r="F29" s="33">
        <f t="shared" ca="1" si="1"/>
        <v>-0.4825930729234833</v>
      </c>
    </row>
    <row r="33" spans="2:16" ht="15.6">
      <c r="B33" s="48" t="s">
        <v>740</v>
      </c>
      <c r="C33" s="49">
        <f>DATE(juillet!E4,7,1)</f>
        <v>45839</v>
      </c>
      <c r="D33" s="49">
        <f>DATE(juillet!E4+1,6,30)</f>
        <v>46203</v>
      </c>
      <c r="F33" s="86" t="s">
        <v>2449</v>
      </c>
      <c r="G33" s="86"/>
      <c r="H33" s="86"/>
      <c r="I33" s="86"/>
      <c r="J33" s="86"/>
      <c r="K33" s="86"/>
      <c r="L33" s="86"/>
      <c r="M33" s="86"/>
      <c r="N33" s="86"/>
      <c r="O33" s="86"/>
    </row>
    <row r="35" spans="2:16" ht="25.2" customHeight="1">
      <c r="B35" s="34" t="s">
        <v>3</v>
      </c>
      <c r="C35" s="38" t="s">
        <v>743</v>
      </c>
      <c r="D35" s="34" t="s">
        <v>744</v>
      </c>
      <c r="F35" s="45" t="s">
        <v>2445</v>
      </c>
      <c r="G35" s="111" t="s">
        <v>744</v>
      </c>
      <c r="H35" s="111"/>
      <c r="I35" s="111" t="s">
        <v>2446</v>
      </c>
      <c r="J35" s="111"/>
      <c r="K35" s="111"/>
      <c r="L35" s="111"/>
      <c r="M35" s="45" t="s">
        <v>2447</v>
      </c>
      <c r="N35" s="111" t="s">
        <v>2448</v>
      </c>
      <c r="O35" s="111"/>
      <c r="P35" s="46"/>
    </row>
    <row r="36" spans="2:16">
      <c r="B36" s="12" t="s">
        <v>24</v>
      </c>
      <c r="C36" s="13" cm="1">
        <f t="array" ref="C36">SUMPRODUCT(
 (Données!D:D = B36) *
 (Données!C:C &gt;= $C$33) *
 (Données!C:C &lt;= $D$33) *
 (Données!F:F &lt;&gt; 0)
)</f>
        <v>1</v>
      </c>
      <c r="D36" s="14">
        <f>SUMIFS(Données!$F:$F,Données!$D:$D,$B36,Données!$C:$C,"&gt;="&amp;$C$33,Données!$C:$C,"&lt;="&amp;$D$33)</f>
        <v>910</v>
      </c>
      <c r="F36" s="47" t="s">
        <v>2437</v>
      </c>
      <c r="G36" s="113">
        <f>SUMIFS(Données!F:F,Données!C:C,"&gt;="&amp;DATE(2019,7,1),Données!C:C,"&lt;="&amp;DATE(2020,6,30))</f>
        <v>132876</v>
      </c>
      <c r="H36" s="113"/>
      <c r="I36" s="112"/>
      <c r="J36" s="112"/>
      <c r="K36" s="112"/>
      <c r="L36" s="112"/>
      <c r="M36" s="47"/>
      <c r="N36" s="115">
        <f>G36/12</f>
        <v>11073</v>
      </c>
      <c r="O36" s="115"/>
    </row>
    <row r="37" spans="2:16">
      <c r="B37" s="12" t="s">
        <v>7</v>
      </c>
      <c r="C37" s="13" cm="1">
        <f t="array" ref="C37">SUMPRODUCT(
 (Données!D:D = B37) *
 (Données!C:C &gt;= $C$33) *
 (Données!C:C &lt;= $D$33) *
 (Données!F:F &lt;&gt; 0)
)</f>
        <v>25</v>
      </c>
      <c r="D37" s="14">
        <f>SUMIFS(Données!$F:$F,Données!$D:$D,$B37,Données!$C:$C,"&gt;="&amp;$C$33,Données!$C:$C,"&lt;="&amp;$D$33)</f>
        <v>16296.5</v>
      </c>
      <c r="F37" s="47" t="s">
        <v>2438</v>
      </c>
      <c r="G37" s="113">
        <f>SUMIFS(Données!F:F,Données!C:C,"&gt;="&amp;DATE(2020,7,1),Données!C:C,"&lt;="&amp;DATE(2021,6,30))</f>
        <v>160691.20000000007</v>
      </c>
      <c r="H37" s="113"/>
      <c r="I37" s="112">
        <f>G37-G36</f>
        <v>27815.20000000007</v>
      </c>
      <c r="J37" s="112"/>
      <c r="K37" s="112"/>
      <c r="L37" s="112"/>
      <c r="M37" s="50">
        <f>IF(G36=0,"",(G37-G36)/G36)</f>
        <v>0.20933200879015074</v>
      </c>
      <c r="N37" s="115">
        <f t="shared" ref="N37:N43" si="2">G37/12</f>
        <v>13390.93333333334</v>
      </c>
      <c r="O37" s="115"/>
    </row>
    <row r="38" spans="2:16">
      <c r="B38" s="12" t="s">
        <v>10</v>
      </c>
      <c r="C38" s="13" cm="1">
        <f t="array" ref="C38">SUMPRODUCT(
 (Données!D:D = B38) *
 (Données!C:C &gt;= $C$33) *
 (Données!C:C &lt;= $D$33) *
 (Données!F:F &lt;&gt; 0)
)</f>
        <v>26</v>
      </c>
      <c r="D38" s="14">
        <f>SUMIFS(Données!$F:$F,Données!$D:$D,$B38,Données!$C:$C,"&gt;="&amp;$C$33,Données!$C:$C,"&lt;="&amp;$D$33)</f>
        <v>19532.599999999999</v>
      </c>
      <c r="F38" s="47" t="s">
        <v>2439</v>
      </c>
      <c r="G38" s="113">
        <f>SUMIFS(Données!F:F,Données!C:C,"&gt;="&amp;DATE(2021,7,1),Données!C:C,"&lt;="&amp;DATE(2022,6,30))</f>
        <v>158658.80000000008</v>
      </c>
      <c r="H38" s="113"/>
      <c r="I38" s="112">
        <f t="shared" ref="I38:I42" si="3">G38-G37</f>
        <v>-2032.3999999999942</v>
      </c>
      <c r="J38" s="112"/>
      <c r="K38" s="112"/>
      <c r="L38" s="112"/>
      <c r="M38" s="50">
        <f t="shared" ref="M38:M42" si="4">IF(G37=0,"",(G38-G37)/G37)</f>
        <v>-1.2647861239445553E-2</v>
      </c>
      <c r="N38" s="115">
        <f t="shared" si="2"/>
        <v>13221.566666666673</v>
      </c>
      <c r="O38" s="115"/>
    </row>
    <row r="39" spans="2:16">
      <c r="B39" s="12" t="s">
        <v>13</v>
      </c>
      <c r="C39" s="13" cm="1">
        <f t="array" ref="C39">SUMPRODUCT(
 (Données!D:D = B39) *
 (Données!C:C &gt;= $C$33) *
 (Données!C:C &lt;= $D$33) *
 (Données!F:F &lt;&gt; 0)
)</f>
        <v>25</v>
      </c>
      <c r="D39" s="14">
        <f>SUMIFS(Données!$F:$F,Données!$D:$D,$B39,Données!$C:$C,"&gt;="&amp;$C$33,Données!$C:$C,"&lt;="&amp;$D$33)</f>
        <v>17757.599999999999</v>
      </c>
      <c r="F39" s="47" t="s">
        <v>2440</v>
      </c>
      <c r="G39" s="113">
        <f>SUMIFS(Données!F:F,Données!C:C,"&gt;="&amp;DATE(2022,7,1),Données!C:C,"&lt;="&amp;DATE(2023,6,30))</f>
        <v>152615.19000000009</v>
      </c>
      <c r="H39" s="113"/>
      <c r="I39" s="112">
        <f t="shared" si="3"/>
        <v>-6043.609999999986</v>
      </c>
      <c r="J39" s="112"/>
      <c r="K39" s="112"/>
      <c r="L39" s="112"/>
      <c r="M39" s="50">
        <f t="shared" si="4"/>
        <v>-3.8091867579989155E-2</v>
      </c>
      <c r="N39" s="115">
        <f t="shared" si="2"/>
        <v>12717.932500000008</v>
      </c>
      <c r="O39" s="115"/>
    </row>
    <row r="40" spans="2:16">
      <c r="B40" s="12" t="s">
        <v>18</v>
      </c>
      <c r="C40" s="13" cm="1">
        <f t="array" ref="C40">SUMPRODUCT(
 (Données!D:D = B40) *
 (Données!C:C &gt;= $C$33) *
 (Données!C:C &lt;= $D$33) *
 (Données!F:F &lt;&gt; 0)
)</f>
        <v>25</v>
      </c>
      <c r="D40" s="14">
        <f>SUMIFS(Données!$F:$F,Données!$D:$D,$B40,Données!$C:$C,"&gt;="&amp;$C$33,Données!$C:$C,"&lt;="&amp;$D$33)</f>
        <v>17904</v>
      </c>
      <c r="F40" s="47" t="s">
        <v>2441</v>
      </c>
      <c r="G40" s="113">
        <f>SUMIFS(Données!F:F,Données!C:C,"&gt;="&amp;DATE(2023,7,1),Données!C:C,"&lt;="&amp;DATE(2024,6,30))</f>
        <v>128576.95000000001</v>
      </c>
      <c r="H40" s="113"/>
      <c r="I40" s="112">
        <f t="shared" si="3"/>
        <v>-24038.240000000078</v>
      </c>
      <c r="J40" s="112"/>
      <c r="K40" s="112"/>
      <c r="L40" s="112"/>
      <c r="M40" s="50">
        <f t="shared" si="4"/>
        <v>-0.1575088298877724</v>
      </c>
      <c r="N40" s="115">
        <f t="shared" si="2"/>
        <v>10714.745833333334</v>
      </c>
      <c r="O40" s="115"/>
    </row>
    <row r="41" spans="2:16">
      <c r="B41" s="12" t="s">
        <v>20</v>
      </c>
      <c r="C41" s="13" cm="1">
        <f t="array" ref="C41">SUMPRODUCT(
 (Données!D:D = B41) *
 (Données!C:C &gt;= $C$33) *
 (Données!C:C &lt;= $D$33) *
 (Données!F:F &lt;&gt; 0)
)</f>
        <v>24</v>
      </c>
      <c r="D41" s="14">
        <f>SUMIFS(Données!$F:$F,Données!$D:$D,$B41,Données!$C:$C,"&gt;="&amp;$C$33,Données!$C:$C,"&lt;="&amp;$D$33)</f>
        <v>5875</v>
      </c>
      <c r="F41" s="47" t="s">
        <v>2442</v>
      </c>
      <c r="G41" s="113">
        <f>SUMIFS(Données!F:F,Données!C:C,"&gt;="&amp;DATE(2024,7,1),Données!C:C,"&lt;="&amp;DATE(2025,6,30))</f>
        <v>151284.6</v>
      </c>
      <c r="H41" s="113"/>
      <c r="I41" s="112">
        <f t="shared" si="3"/>
        <v>22707.649999999994</v>
      </c>
      <c r="J41" s="112"/>
      <c r="K41" s="112"/>
      <c r="L41" s="112"/>
      <c r="M41" s="50">
        <f t="shared" si="4"/>
        <v>0.1766074712458181</v>
      </c>
      <c r="N41" s="115">
        <f t="shared" si="2"/>
        <v>12607.050000000001</v>
      </c>
      <c r="O41" s="115"/>
    </row>
    <row r="42" spans="2:16">
      <c r="B42" s="12" t="s">
        <v>22</v>
      </c>
      <c r="C42" s="13" cm="1">
        <f t="array" ref="C42">SUMPRODUCT(
 (Données!D:D = B42) *
 (Données!C:C &gt;= $C$33) *
 (Données!C:C &lt;= $D$33) *
 (Données!F:F &lt;&gt; 0)
)</f>
        <v>0</v>
      </c>
      <c r="D42" s="14">
        <f>SUMIFS(Données!$F:$F,Données!$D:$D,$B42,Données!$C:$C,"&gt;="&amp;$C$33,Données!$C:$C,"&lt;="&amp;$D$33)</f>
        <v>0</v>
      </c>
      <c r="F42" s="47" t="s">
        <v>2443</v>
      </c>
      <c r="G42" s="113">
        <f>SUMIFS(Données!F:F,Données!C:C,"&gt;="&amp;DATE(2025,7,1),Données!C:C,"&lt;="&amp;DATE(2026,6,30))</f>
        <v>78275.7</v>
      </c>
      <c r="H42" s="113"/>
      <c r="I42" s="112">
        <f t="shared" si="3"/>
        <v>-73008.900000000009</v>
      </c>
      <c r="J42" s="112"/>
      <c r="K42" s="112"/>
      <c r="L42" s="112"/>
      <c r="M42" s="50">
        <f t="shared" si="4"/>
        <v>-0.4825930729234833</v>
      </c>
      <c r="N42" s="115">
        <f t="shared" si="2"/>
        <v>6522.9749999999995</v>
      </c>
      <c r="O42" s="115"/>
    </row>
    <row r="43" spans="2:16">
      <c r="C43" s="13">
        <f>SUM(C42,C41,C40,C39,C38,C37,C36)</f>
        <v>126</v>
      </c>
      <c r="D43" s="15">
        <f>SUM(D42,D41,D40,D39,D38,D37,D36)</f>
        <v>78275.7</v>
      </c>
      <c r="F43" s="47" t="s">
        <v>2444</v>
      </c>
      <c r="G43" s="114"/>
      <c r="H43" s="114"/>
      <c r="I43" s="114"/>
      <c r="J43" s="114"/>
      <c r="K43" s="114"/>
      <c r="L43" s="114"/>
      <c r="M43" s="47"/>
      <c r="N43" s="115">
        <f t="shared" si="2"/>
        <v>0</v>
      </c>
      <c r="O43" s="115"/>
    </row>
  </sheetData>
  <mergeCells count="46">
    <mergeCell ref="G43:H43"/>
    <mergeCell ref="I43:L43"/>
    <mergeCell ref="N35:O35"/>
    <mergeCell ref="N36:O36"/>
    <mergeCell ref="N37:O37"/>
    <mergeCell ref="N38:O38"/>
    <mergeCell ref="N39:O39"/>
    <mergeCell ref="N40:O40"/>
    <mergeCell ref="N41:O41"/>
    <mergeCell ref="N42:O42"/>
    <mergeCell ref="N43:O43"/>
    <mergeCell ref="G38:H38"/>
    <mergeCell ref="G39:H39"/>
    <mergeCell ref="G40:H40"/>
    <mergeCell ref="G41:H41"/>
    <mergeCell ref="G42:H42"/>
    <mergeCell ref="I38:L38"/>
    <mergeCell ref="I39:L39"/>
    <mergeCell ref="I40:L40"/>
    <mergeCell ref="I41:L41"/>
    <mergeCell ref="I42:L42"/>
    <mergeCell ref="N8:O8"/>
    <mergeCell ref="D8:E8"/>
    <mergeCell ref="H8:I8"/>
    <mergeCell ref="I35:L35"/>
    <mergeCell ref="I37:L37"/>
    <mergeCell ref="I36:L36"/>
    <mergeCell ref="G35:H35"/>
    <mergeCell ref="G36:H36"/>
    <mergeCell ref="G37:H37"/>
    <mergeCell ref="D7:E7"/>
    <mergeCell ref="B7:C7"/>
    <mergeCell ref="B10:O13"/>
    <mergeCell ref="F33:O33"/>
    <mergeCell ref="A1:O1"/>
    <mergeCell ref="A2:O2"/>
    <mergeCell ref="A3:O3"/>
    <mergeCell ref="B8:C8"/>
    <mergeCell ref="F7:G7"/>
    <mergeCell ref="F8:G8"/>
    <mergeCell ref="H7:I7"/>
    <mergeCell ref="B15:F15"/>
    <mergeCell ref="A5:O5"/>
    <mergeCell ref="J7:M7"/>
    <mergeCell ref="J8:M8"/>
    <mergeCell ref="N7:O7"/>
  </mergeCells>
  <phoneticPr fontId="36" type="noConversion"/>
  <pageMargins left="0.19685039370078741" right="0.19685039370078741" top="0.19685039370078741" bottom="0.19685039370078741" header="0.19685039370078741" footer="0.19685039370078741"/>
  <pageSetup paperSize="9" orientation="landscape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O1228"/>
  <sheetViews>
    <sheetView showGridLines="0" topLeftCell="A23" workbookViewId="0">
      <selection activeCell="L18" sqref="L18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8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45839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45474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45838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45474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45838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45475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45839</v>
      </c>
      <c r="D7" s="27">
        <f>IFERROR(INDEX(Données!F:F,MATCH($D$4&amp;"|"&amp;TEXT(B7,"aaaa-mm-jj"),Données!A:A,0)),0)</f>
        <v>791</v>
      </c>
      <c r="E7" s="68">
        <f>IFERROR(INDEX(Données!F:F,MATCH($E$4&amp;"|"&amp;TEXT(C7,"aaaa-mm-jj"),Données!A:A,0)),"")</f>
        <v>709</v>
      </c>
      <c r="F7" s="3">
        <f t="shared" si="0"/>
        <v>-82</v>
      </c>
      <c r="G7" s="4">
        <f t="shared" si="1"/>
        <v>-0.10366624525916561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45476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45840</v>
      </c>
      <c r="D8" s="27">
        <f>IFERROR(INDEX(Données!F:F,MATCH($D$4&amp;"|"&amp;TEXT(B8,"aaaa-mm-jj"),Données!A:A,0)),0)</f>
        <v>763</v>
      </c>
      <c r="E8" s="68">
        <f>IFERROR(INDEX(Données!F:F,MATCH($E$4&amp;"|"&amp;TEXT(C8,"aaaa-mm-jj"),Données!A:A,0)),"")</f>
        <v>862</v>
      </c>
      <c r="F8" s="3">
        <f t="shared" si="0"/>
        <v>99</v>
      </c>
      <c r="G8" s="4">
        <f t="shared" si="1"/>
        <v>0.12975098296199214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45477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45841</v>
      </c>
      <c r="D9" s="27">
        <f>IFERROR(INDEX(Données!F:F,MATCH($D$4&amp;"|"&amp;TEXT(B9,"aaaa-mm-jj"),Données!A:A,0)),0)</f>
        <v>681</v>
      </c>
      <c r="E9" s="68">
        <f>IFERROR(INDEX(Données!F:F,MATCH($E$4&amp;"|"&amp;TEXT(C9,"aaaa-mm-jj"),Données!A:A,0)),"")</f>
        <v>739</v>
      </c>
      <c r="F9" s="3">
        <f t="shared" si="0"/>
        <v>58</v>
      </c>
      <c r="G9" s="4">
        <f t="shared" si="1"/>
        <v>8.5168869309838469E-2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45478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45842</v>
      </c>
      <c r="D10" s="27">
        <f>IFERROR(INDEX(Données!F:F,MATCH($D$4&amp;"|"&amp;TEXT(B10,"aaaa-mm-jj"),Données!A:A,0)),0)</f>
        <v>849.8</v>
      </c>
      <c r="E10" s="68">
        <f>IFERROR(INDEX(Données!F:F,MATCH($E$4&amp;"|"&amp;TEXT(C10,"aaaa-mm-jj"),Données!A:A,0)),"")</f>
        <v>622</v>
      </c>
      <c r="F10" s="3">
        <f t="shared" si="0"/>
        <v>-227.79999999999995</v>
      </c>
      <c r="G10" s="4">
        <f t="shared" si="1"/>
        <v>-0.26806307366439158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45479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45843</v>
      </c>
      <c r="D11" s="27">
        <f>IFERROR(INDEX(Données!F:F,MATCH($D$4&amp;"|"&amp;TEXT(B11,"aaaa-mm-jj"),Données!A:A,0)),0)</f>
        <v>311</v>
      </c>
      <c r="E11" s="68">
        <f>IFERROR(INDEX(Données!F:F,MATCH($E$4&amp;"|"&amp;TEXT(C11,"aaaa-mm-jj"),Données!A:A,0)),"")</f>
        <v>268</v>
      </c>
      <c r="F11" s="3">
        <f t="shared" si="0"/>
        <v>-43</v>
      </c>
      <c r="G11" s="4">
        <f t="shared" si="1"/>
        <v>-0.13826366559485531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45480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45844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45481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45845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45482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45846</v>
      </c>
      <c r="D14" s="27">
        <f>IFERROR(INDEX(Données!F:F,MATCH($D$4&amp;"|"&amp;TEXT(B14,"aaaa-mm-jj"),Données!A:A,0)),0)</f>
        <v>743</v>
      </c>
      <c r="E14" s="68">
        <f>IFERROR(INDEX(Données!F:F,MATCH($E$4&amp;"|"&amp;TEXT(C14,"aaaa-mm-jj"),Données!A:A,0)),"")</f>
        <v>836</v>
      </c>
      <c r="F14" s="3">
        <f t="shared" si="0"/>
        <v>93</v>
      </c>
      <c r="G14" s="4">
        <f t="shared" si="1"/>
        <v>0.12516823687752354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45483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45847</v>
      </c>
      <c r="D15" s="27">
        <f>IFERROR(INDEX(Données!F:F,MATCH($D$4&amp;"|"&amp;TEXT(B15,"aaaa-mm-jj"),Données!A:A,0)),0)</f>
        <v>629</v>
      </c>
      <c r="E15" s="68">
        <f>IFERROR(INDEX(Données!F:F,MATCH($E$4&amp;"|"&amp;TEXT(C15,"aaaa-mm-jj"),Données!A:A,0)),"")</f>
        <v>781</v>
      </c>
      <c r="F15" s="3">
        <f t="shared" si="0"/>
        <v>152</v>
      </c>
      <c r="G15" s="4">
        <f t="shared" si="1"/>
        <v>0.24165341812400637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45484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45848</v>
      </c>
      <c r="D16" s="27">
        <f>IFERROR(INDEX(Données!F:F,MATCH($D$4&amp;"|"&amp;TEXT(B16,"aaaa-mm-jj"),Données!A:A,0)),0)</f>
        <v>600</v>
      </c>
      <c r="E16" s="68">
        <f>IFERROR(INDEX(Données!F:F,MATCH($E$4&amp;"|"&amp;TEXT(C16,"aaaa-mm-jj"),Données!A:A,0)),"")</f>
        <v>771.8</v>
      </c>
      <c r="F16" s="3">
        <f t="shared" si="0"/>
        <v>171.79999999999995</v>
      </c>
      <c r="G16" s="4">
        <f t="shared" si="1"/>
        <v>0.28633333333333327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45485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45849</v>
      </c>
      <c r="D17" s="27">
        <f>IFERROR(INDEX(Données!F:F,MATCH($D$4&amp;"|"&amp;TEXT(B17,"aaaa-mm-jj"),Données!A:A,0)),0)</f>
        <v>632</v>
      </c>
      <c r="E17" s="68">
        <f>IFERROR(INDEX(Données!F:F,MATCH($E$4&amp;"|"&amp;TEXT(C17,"aaaa-mm-jj"),Données!A:A,0)),"")</f>
        <v>332</v>
      </c>
      <c r="F17" s="3">
        <f t="shared" si="0"/>
        <v>-300</v>
      </c>
      <c r="G17" s="4">
        <f t="shared" si="1"/>
        <v>-0.47468354430379744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45486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45850</v>
      </c>
      <c r="D18" s="27">
        <f>IFERROR(INDEX(Données!F:F,MATCH($D$4&amp;"|"&amp;TEXT(B18,"aaaa-mm-jj"),Données!A:A,0)),0)</f>
        <v>272</v>
      </c>
      <c r="E18" s="68">
        <f>IFERROR(INDEX(Données!F:F,MATCH($E$4&amp;"|"&amp;TEXT(C18,"aaaa-mm-jj"),Données!A:A,0)),"")</f>
        <v>315</v>
      </c>
      <c r="F18" s="3">
        <f t="shared" si="0"/>
        <v>43</v>
      </c>
      <c r="G18" s="4">
        <f t="shared" si="1"/>
        <v>0.15808823529411764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45487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45851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45488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45852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45489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45853</v>
      </c>
      <c r="D21" s="27">
        <f>IFERROR(INDEX(Données!F:F,MATCH($D$4&amp;"|"&amp;TEXT(B21,"aaaa-mm-jj"),Données!A:A,0)),0)</f>
        <v>369.2</v>
      </c>
      <c r="E21" s="68">
        <f>IFERROR(INDEX(Données!F:F,MATCH($E$4&amp;"|"&amp;TEXT(C21,"aaaa-mm-jj"),Données!A:A,0)),"")</f>
        <v>460</v>
      </c>
      <c r="F21" s="3">
        <f t="shared" si="0"/>
        <v>90.800000000000011</v>
      </c>
      <c r="G21" s="4">
        <f t="shared" si="1"/>
        <v>0.24593716143011921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45490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45854</v>
      </c>
      <c r="D22" s="27">
        <f>IFERROR(INDEX(Données!F:F,MATCH($D$4&amp;"|"&amp;TEXT(B22,"aaaa-mm-jj"),Données!A:A,0)),0)</f>
        <v>343</v>
      </c>
      <c r="E22" s="68">
        <f>IFERROR(INDEX(Données!F:F,MATCH($E$4&amp;"|"&amp;TEXT(C22,"aaaa-mm-jj"),Données!A:A,0)),"")</f>
        <v>487</v>
      </c>
      <c r="F22" s="3">
        <f t="shared" si="0"/>
        <v>144</v>
      </c>
      <c r="G22" s="4">
        <f t="shared" si="1"/>
        <v>0.41982507288629739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45491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45855</v>
      </c>
      <c r="D23" s="27">
        <f>IFERROR(INDEX(Données!F:F,MATCH($D$4&amp;"|"&amp;TEXT(B23,"aaaa-mm-jj"),Données!A:A,0)),0)</f>
        <v>411</v>
      </c>
      <c r="E23" s="68">
        <f>IFERROR(INDEX(Données!F:F,MATCH($E$4&amp;"|"&amp;TEXT(C23,"aaaa-mm-jj"),Données!A:A,0)),"")</f>
        <v>429</v>
      </c>
      <c r="F23" s="3">
        <f t="shared" si="0"/>
        <v>18</v>
      </c>
      <c r="G23" s="4">
        <f t="shared" si="1"/>
        <v>4.3795620437956206E-2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45492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45856</v>
      </c>
      <c r="D24" s="27">
        <f>IFERROR(INDEX(Données!F:F,MATCH($D$4&amp;"|"&amp;TEXT(B24,"aaaa-mm-jj"),Données!A:A,0)),0)</f>
        <v>368</v>
      </c>
      <c r="E24" s="68">
        <f>IFERROR(INDEX(Données!F:F,MATCH($E$4&amp;"|"&amp;TEXT(C24,"aaaa-mm-jj"),Données!A:A,0)),"")</f>
        <v>373</v>
      </c>
      <c r="F24" s="3">
        <f t="shared" si="0"/>
        <v>5</v>
      </c>
      <c r="G24" s="4">
        <f t="shared" si="1"/>
        <v>1.358695652173913E-2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45493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45857</v>
      </c>
      <c r="D25" s="27">
        <f>IFERROR(INDEX(Données!F:F,MATCH($D$4&amp;"|"&amp;TEXT(B25,"aaaa-mm-jj"),Données!A:A,0)),0)</f>
        <v>93</v>
      </c>
      <c r="E25" s="68">
        <f>IFERROR(INDEX(Données!F:F,MATCH($E$4&amp;"|"&amp;TEXT(C25,"aaaa-mm-jj"),Données!A:A,0)),"")</f>
        <v>224</v>
      </c>
      <c r="F25" s="3">
        <f t="shared" si="0"/>
        <v>131</v>
      </c>
      <c r="G25" s="4">
        <f t="shared" si="1"/>
        <v>1.4086021505376345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45494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45858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45495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45859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45496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45860</v>
      </c>
      <c r="D28" s="27">
        <f>IFERROR(INDEX(Données!F:F,MATCH($D$4&amp;"|"&amp;TEXT(B28,"aaaa-mm-jj"),Données!A:A,0)),0)</f>
        <v>427</v>
      </c>
      <c r="E28" s="68">
        <f>IFERROR(INDEX(Données!F:F,MATCH($E$4&amp;"|"&amp;TEXT(C28,"aaaa-mm-jj"),Données!A:A,0)),"")</f>
        <v>314</v>
      </c>
      <c r="F28" s="3">
        <f t="shared" si="0"/>
        <v>-113</v>
      </c>
      <c r="G28" s="4">
        <f t="shared" si="1"/>
        <v>-0.26463700234192039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45497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45861</v>
      </c>
      <c r="D29" s="27">
        <f>IFERROR(INDEX(Données!F:F,MATCH($D$4&amp;"|"&amp;TEXT(B29,"aaaa-mm-jj"),Données!A:A,0)),0)</f>
        <v>508</v>
      </c>
      <c r="E29" s="68">
        <f>IFERROR(INDEX(Données!F:F,MATCH($E$4&amp;"|"&amp;TEXT(C29,"aaaa-mm-jj"),Données!A:A,0)),"")</f>
        <v>1052</v>
      </c>
      <c r="F29" s="3">
        <f t="shared" si="0"/>
        <v>544</v>
      </c>
      <c r="G29" s="4">
        <f t="shared" si="1"/>
        <v>1.0708661417322836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45498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45862</v>
      </c>
      <c r="D30" s="27">
        <f>IFERROR(INDEX(Données!F:F,MATCH($D$4&amp;"|"&amp;TEXT(B30,"aaaa-mm-jj"),Données!A:A,0)),0)</f>
        <v>633</v>
      </c>
      <c r="E30" s="68">
        <f>IFERROR(INDEX(Données!F:F,MATCH($E$4&amp;"|"&amp;TEXT(C30,"aaaa-mm-jj"),Données!A:A,0)),"")</f>
        <v>1143</v>
      </c>
      <c r="F30" s="3">
        <f t="shared" si="0"/>
        <v>510</v>
      </c>
      <c r="G30" s="4">
        <f t="shared" si="1"/>
        <v>0.80568720379146919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45499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45863</v>
      </c>
      <c r="D31" s="27">
        <f>IFERROR(INDEX(Données!F:F,MATCH($D$4&amp;"|"&amp;TEXT(B31,"aaaa-mm-jj"),Données!A:A,0)),0)</f>
        <v>524</v>
      </c>
      <c r="E31" s="68">
        <f>IFERROR(INDEX(Données!F:F,MATCH($E$4&amp;"|"&amp;TEXT(C31,"aaaa-mm-jj"),Données!A:A,0)),"")</f>
        <v>460</v>
      </c>
      <c r="F31" s="3">
        <f t="shared" si="0"/>
        <v>-64</v>
      </c>
      <c r="G31" s="4">
        <f t="shared" si="1"/>
        <v>-0.12213740458015267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45500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45864</v>
      </c>
      <c r="D32" s="27">
        <f>IFERROR(INDEX(Données!F:F,MATCH($D$4&amp;"|"&amp;TEXT(B32,"aaaa-mm-jj"),Données!A:A,0)),0)</f>
        <v>379</v>
      </c>
      <c r="E32" s="68">
        <f>IFERROR(INDEX(Données!F:F,MATCH($E$4&amp;"|"&amp;TEXT(C32,"aaaa-mm-jj"),Données!A:A,0)),"")</f>
        <v>181</v>
      </c>
      <c r="F32" s="3">
        <f t="shared" si="0"/>
        <v>-198</v>
      </c>
      <c r="G32" s="4">
        <f t="shared" si="1"/>
        <v>-0.52242744063324542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45501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45865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45502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45866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45503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45867</v>
      </c>
      <c r="D35" s="27">
        <f>IFERROR(INDEX(Données!F:F,MATCH($D$4&amp;"|"&amp;TEXT(B35,"aaaa-mm-jj"),Données!A:A,0)),0)</f>
        <v>249</v>
      </c>
      <c r="E35" s="68">
        <f>IFERROR(INDEX(Données!F:F,MATCH($E$4&amp;"|"&amp;TEXT(C35,"aaaa-mm-jj"),Données!A:A,0)),"")</f>
        <v>372</v>
      </c>
      <c r="F35" s="3">
        <f t="shared" si="0"/>
        <v>123</v>
      </c>
      <c r="G35" s="4">
        <f t="shared" si="1"/>
        <v>0.49397590361445781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45504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45868</v>
      </c>
      <c r="D36" s="27">
        <f>IFERROR(INDEX(Données!F:F,MATCH($D$4&amp;"|"&amp;TEXT(B36,"aaaa-mm-jj"),Données!A:A,0)),0)</f>
        <v>462</v>
      </c>
      <c r="E36" s="68">
        <f>IFERROR(INDEX(Données!F:F,MATCH($E$4&amp;"|"&amp;TEXT(C36,"aaaa-mm-jj"),Données!A:A,0)),"")</f>
        <v>1104</v>
      </c>
      <c r="F36" s="3">
        <f t="shared" si="0"/>
        <v>642</v>
      </c>
      <c r="G36" s="4">
        <f t="shared" si="1"/>
        <v>1.3896103896103895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45505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45869</v>
      </c>
      <c r="D37" s="27">
        <f>IFERROR(INDEX(Données!F:F,MATCH($D$4&amp;"|"&amp;TEXT(B37,"aaaa-mm-jj"),Données!A:A,0)),0)</f>
        <v>578</v>
      </c>
      <c r="E37" s="68">
        <f>IFERROR(INDEX(Données!F:F,MATCH($E$4&amp;"|"&amp;TEXT(C37,"aaaa-mm-jj"),Données!A:A,0)),"")</f>
        <v>1073</v>
      </c>
      <c r="F37" s="3">
        <f t="shared" si="0"/>
        <v>495</v>
      </c>
      <c r="G37" s="4">
        <f t="shared" si="1"/>
        <v>0.856401384083045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45506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45870</v>
      </c>
      <c r="D38" s="27">
        <f>IFERROR(INDEX(Données!F:F,MATCH($D$4&amp;"|"&amp;TEXT(B38,"aaaa-mm-jj"),Données!A:A,0)),0)</f>
        <v>659</v>
      </c>
      <c r="E38" s="68">
        <f>IFERROR(INDEX(Données!F:F,MATCH($E$4&amp;"|"&amp;TEXT(C38,"aaaa-mm-jj"),Données!A:A,0)),"")</f>
        <v>952</v>
      </c>
      <c r="F38" s="3">
        <f t="shared" si="0"/>
        <v>293</v>
      </c>
      <c r="G38" s="4">
        <f t="shared" si="1"/>
        <v>0.44461305007587254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45507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45871</v>
      </c>
      <c r="D39" s="27">
        <f>IFERROR(INDEX(Données!F:F,MATCH($D$4&amp;"|"&amp;TEXT(B39,"aaaa-mm-jj"),Données!A:A,0)),0)</f>
        <v>474</v>
      </c>
      <c r="E39" s="68">
        <f>IFERROR(INDEX(Données!F:F,MATCH($E$4&amp;"|"&amp;TEXT(C39,"aaaa-mm-jj"),Données!A:A,0)),"")</f>
        <v>310</v>
      </c>
      <c r="F39" s="3">
        <f t="shared" si="0"/>
        <v>-164</v>
      </c>
      <c r="G39" s="4">
        <f t="shared" si="1"/>
        <v>-0.34599156118143459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45508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45872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45509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45873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45510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45874</v>
      </c>
      <c r="D42" s="27">
        <f>IFERROR(INDEX(Données!F:F,MATCH($D$4&amp;"|"&amp;TEXT(B42,"aaaa-mm-jj"),Données!A:A,0)),0)</f>
        <v>856</v>
      </c>
      <c r="E42" s="68">
        <f>IFERROR(INDEX(Données!F:F,MATCH($E$4&amp;"|"&amp;TEXT(C42,"aaaa-mm-jj"),Données!A:A,0)),"")</f>
        <v>505</v>
      </c>
      <c r="F42" s="3">
        <f t="shared" si="0"/>
        <v>-351</v>
      </c>
      <c r="G42" s="4">
        <f t="shared" si="1"/>
        <v>-0.41004672897196259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45511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45875</v>
      </c>
      <c r="D43" s="27">
        <f>IFERROR(INDEX(Données!F:F,MATCH($D$4&amp;"|"&amp;TEXT(B43,"aaaa-mm-jj"),Données!A:A,0)),0)</f>
        <v>573</v>
      </c>
      <c r="E43" s="68">
        <f>IFERROR(INDEX(Données!F:F,MATCH($E$4&amp;"|"&amp;TEXT(C43,"aaaa-mm-jj"),Données!A:A,0)),"")</f>
        <v>627</v>
      </c>
      <c r="F43" s="3">
        <f t="shared" si="0"/>
        <v>54</v>
      </c>
      <c r="G43" s="4">
        <f t="shared" si="1"/>
        <v>9.4240837696335081E-2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45877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4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45878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45879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45880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45881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45882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45883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45884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45885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45886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11038</v>
      </c>
      <c r="E54" s="28">
        <f>SUMIFS(E:E, C:C, "&gt;="&amp;DATE(YEAR($M$2),MONTH($M$2),1), C:C, "&lt;"&amp;DATE(YEAR($M$2),MONTH($M$2)+1,1))</f>
        <v>13907.8</v>
      </c>
      <c r="F54" s="29">
        <f t="shared" si="2"/>
        <v>2869.7999999999993</v>
      </c>
      <c r="G54" s="30">
        <f>IFERROR((E54-D54)/D54,0)</f>
        <v>0.25999275231020108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D54</f>
        <v>11038</v>
      </c>
      <c r="E56" s="5">
        <f>E54</f>
        <v>13907.8</v>
      </c>
      <c r="F56" s="6">
        <f>E56-D56</f>
        <v>2869.7999999999993</v>
      </c>
      <c r="G56" s="7">
        <f>IFERROR((E56-D56)/D56,0)</f>
        <v>0.25999275231020108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56:C56"/>
    <mergeCell ref="A54:C54"/>
    <mergeCell ref="A1:H1"/>
  </mergeCells>
  <conditionalFormatting sqref="A5:G53">
    <cfRule type="expression" dxfId="71" priority="10">
      <formula>$A5="lundi"</formula>
    </cfRule>
    <cfRule type="expression" dxfId="70" priority="11">
      <formula>$A5="dimanche"</formula>
    </cfRule>
  </conditionalFormatting>
  <conditionalFormatting sqref="C6:C53">
    <cfRule type="expression" dxfId="69" priority="4">
      <formula>MONTH($C6)&lt;&gt;MONTH($M$2)</formula>
    </cfRule>
  </conditionalFormatting>
  <conditionalFormatting sqref="B6:B53">
    <cfRule type="expression" dxfId="68" priority="3">
      <formula>MONTH($B6)&lt;&gt;MONTH($M$3)</formula>
    </cfRule>
  </conditionalFormatting>
  <conditionalFormatting sqref="E6:E53">
    <cfRule type="expression" dxfId="67" priority="2">
      <formula>MONTH($C6)&lt;&gt;MONTH($M$2)</formula>
    </cfRule>
  </conditionalFormatting>
  <conditionalFormatting sqref="D6:D53">
    <cfRule type="expression" dxfId="66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Button 12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8E3A3A3E-9D73-473D-AE33-15E727B4221D}">
          <x14:formula1>
            <xm:f>Feuil1!$A$1:$A$19</xm:f>
          </x14:formula1>
          <xm:sqref>D4:E4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08697-FEDC-401A-9186-4C548DBEF4DC}">
  <sheetPr codeName="Feuil3"/>
  <dimension ref="A1:O1228"/>
  <sheetViews>
    <sheetView showGridLines="0" topLeftCell="A38" workbookViewId="0">
      <selection activeCell="L18" sqref="L18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234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45870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45505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45866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45502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45866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45503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45867</v>
      </c>
      <c r="D7" s="27">
        <f>IFERROR(INDEX(Données!F:F,MATCH($D$4&amp;"|"&amp;TEXT(B7,"aaaa-mm-jj"),Données!A:A,0)),0)</f>
        <v>249</v>
      </c>
      <c r="E7" s="68">
        <f>IFERROR(INDEX(Données!F:F,MATCH($E$4&amp;"|"&amp;TEXT(C7,"aaaa-mm-jj"),Données!A:A,0)),"")</f>
        <v>372</v>
      </c>
      <c r="F7" s="3">
        <f t="shared" si="0"/>
        <v>123</v>
      </c>
      <c r="G7" s="4">
        <f t="shared" si="1"/>
        <v>0.49397590361445781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45504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45868</v>
      </c>
      <c r="D8" s="27">
        <f>IFERROR(INDEX(Données!F:F,MATCH($D$4&amp;"|"&amp;TEXT(B8,"aaaa-mm-jj"),Données!A:A,0)),0)</f>
        <v>462</v>
      </c>
      <c r="E8" s="68">
        <f>IFERROR(INDEX(Données!F:F,MATCH($E$4&amp;"|"&amp;TEXT(C8,"aaaa-mm-jj"),Données!A:A,0)),"")</f>
        <v>1104</v>
      </c>
      <c r="F8" s="3">
        <f t="shared" si="0"/>
        <v>642</v>
      </c>
      <c r="G8" s="4">
        <f t="shared" si="1"/>
        <v>1.3896103896103895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45505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45869</v>
      </c>
      <c r="D9" s="27">
        <f>IFERROR(INDEX(Données!F:F,MATCH($D$4&amp;"|"&amp;TEXT(B9,"aaaa-mm-jj"),Données!A:A,0)),0)</f>
        <v>578</v>
      </c>
      <c r="E9" s="68">
        <f>IFERROR(INDEX(Données!F:F,MATCH($E$4&amp;"|"&amp;TEXT(C9,"aaaa-mm-jj"),Données!A:A,0)),"")</f>
        <v>1073</v>
      </c>
      <c r="F9" s="3">
        <f t="shared" si="0"/>
        <v>495</v>
      </c>
      <c r="G9" s="4">
        <f t="shared" si="1"/>
        <v>0.856401384083045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45506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45870</v>
      </c>
      <c r="D10" s="27">
        <f>IFERROR(INDEX(Données!F:F,MATCH($D$4&amp;"|"&amp;TEXT(B10,"aaaa-mm-jj"),Données!A:A,0)),0)</f>
        <v>659</v>
      </c>
      <c r="E10" s="68">
        <f>IFERROR(INDEX(Données!F:F,MATCH($E$4&amp;"|"&amp;TEXT(C10,"aaaa-mm-jj"),Données!A:A,0)),"")</f>
        <v>952</v>
      </c>
      <c r="F10" s="3">
        <f t="shared" si="0"/>
        <v>293</v>
      </c>
      <c r="G10" s="4">
        <f t="shared" si="1"/>
        <v>0.44461305007587254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45507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45871</v>
      </c>
      <c r="D11" s="27">
        <f>IFERROR(INDEX(Données!F:F,MATCH($D$4&amp;"|"&amp;TEXT(B11,"aaaa-mm-jj"),Données!A:A,0)),0)</f>
        <v>474</v>
      </c>
      <c r="E11" s="68">
        <f>IFERROR(INDEX(Données!F:F,MATCH($E$4&amp;"|"&amp;TEXT(C11,"aaaa-mm-jj"),Données!A:A,0)),"")</f>
        <v>310</v>
      </c>
      <c r="F11" s="3">
        <f t="shared" si="0"/>
        <v>-164</v>
      </c>
      <c r="G11" s="4">
        <f t="shared" si="1"/>
        <v>-0.34599156118143459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45508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45872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45509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45873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45510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45874</v>
      </c>
      <c r="D14" s="27">
        <f>IFERROR(INDEX(Données!F:F,MATCH($D$4&amp;"|"&amp;TEXT(B14,"aaaa-mm-jj"),Données!A:A,0)),0)</f>
        <v>856</v>
      </c>
      <c r="E14" s="68">
        <f>IFERROR(INDEX(Données!F:F,MATCH($E$4&amp;"|"&amp;TEXT(C14,"aaaa-mm-jj"),Données!A:A,0)),"")</f>
        <v>505</v>
      </c>
      <c r="F14" s="3">
        <f t="shared" si="0"/>
        <v>-351</v>
      </c>
      <c r="G14" s="4">
        <f t="shared" si="1"/>
        <v>-0.41004672897196259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45511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45875</v>
      </c>
      <c r="D15" s="27">
        <f>IFERROR(INDEX(Données!F:F,MATCH($D$4&amp;"|"&amp;TEXT(B15,"aaaa-mm-jj"),Données!A:A,0)),0)</f>
        <v>573</v>
      </c>
      <c r="E15" s="68">
        <f>IFERROR(INDEX(Données!F:F,MATCH($E$4&amp;"|"&amp;TEXT(C15,"aaaa-mm-jj"),Données!A:A,0)),"")</f>
        <v>627</v>
      </c>
      <c r="F15" s="3">
        <f t="shared" si="0"/>
        <v>54</v>
      </c>
      <c r="G15" s="4">
        <f t="shared" si="1"/>
        <v>9.4240837696335081E-2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45512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45876</v>
      </c>
      <c r="D16" s="27">
        <f>IFERROR(INDEX(Données!F:F,MATCH($D$4&amp;"|"&amp;TEXT(B16,"aaaa-mm-jj"),Données!A:A,0)),0)</f>
        <v>681</v>
      </c>
      <c r="E16" s="68">
        <f>IFERROR(INDEX(Données!F:F,MATCH($E$4&amp;"|"&amp;TEXT(C16,"aaaa-mm-jj"),Données!A:A,0)),"")</f>
        <v>426</v>
      </c>
      <c r="F16" s="3">
        <f t="shared" si="0"/>
        <v>-255</v>
      </c>
      <c r="G16" s="4">
        <f t="shared" si="1"/>
        <v>-0.37444933920704848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45513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45877</v>
      </c>
      <c r="D17" s="27">
        <f>IFERROR(INDEX(Données!F:F,MATCH($D$4&amp;"|"&amp;TEXT(B17,"aaaa-mm-jj"),Données!A:A,0)),0)</f>
        <v>651</v>
      </c>
      <c r="E17" s="68">
        <f>IFERROR(INDEX(Données!F:F,MATCH($E$4&amp;"|"&amp;TEXT(C17,"aaaa-mm-jj"),Données!A:A,0)),"")</f>
        <v>403</v>
      </c>
      <c r="F17" s="3">
        <f t="shared" si="0"/>
        <v>-248</v>
      </c>
      <c r="G17" s="4">
        <f t="shared" si="1"/>
        <v>-0.38095238095238093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45514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45878</v>
      </c>
      <c r="D18" s="27">
        <f>IFERROR(INDEX(Données!F:F,MATCH($D$4&amp;"|"&amp;TEXT(B18,"aaaa-mm-jj"),Données!A:A,0)),0)</f>
        <v>543</v>
      </c>
      <c r="E18" s="68">
        <f>IFERROR(INDEX(Données!F:F,MATCH($E$4&amp;"|"&amp;TEXT(C18,"aaaa-mm-jj"),Données!A:A,0)),"")</f>
        <v>441</v>
      </c>
      <c r="F18" s="3">
        <f t="shared" si="0"/>
        <v>-102</v>
      </c>
      <c r="G18" s="4">
        <f t="shared" si="1"/>
        <v>-0.18784530386740331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45515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45879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45516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45880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45517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45881</v>
      </c>
      <c r="D21" s="27">
        <f>IFERROR(INDEX(Données!F:F,MATCH($D$4&amp;"|"&amp;TEXT(B21,"aaaa-mm-jj"),Données!A:A,0)),0)</f>
        <v>863</v>
      </c>
      <c r="E21" s="68">
        <f>IFERROR(INDEX(Données!F:F,MATCH($E$4&amp;"|"&amp;TEXT(C21,"aaaa-mm-jj"),Données!A:A,0)),"")</f>
        <v>1196</v>
      </c>
      <c r="F21" s="3">
        <f t="shared" si="0"/>
        <v>333</v>
      </c>
      <c r="G21" s="4">
        <f t="shared" si="1"/>
        <v>0.38586326767091539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45518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45882</v>
      </c>
      <c r="D22" s="27">
        <f>IFERROR(INDEX(Données!F:F,MATCH($D$4&amp;"|"&amp;TEXT(B22,"aaaa-mm-jj"),Données!A:A,0)),0)</f>
        <v>833.5</v>
      </c>
      <c r="E22" s="68">
        <f>IFERROR(INDEX(Données!F:F,MATCH($E$4&amp;"|"&amp;TEXT(C22,"aaaa-mm-jj"),Données!A:A,0)),"")</f>
        <v>1096</v>
      </c>
      <c r="F22" s="3">
        <f t="shared" si="0"/>
        <v>262.5</v>
      </c>
      <c r="G22" s="4">
        <f t="shared" si="1"/>
        <v>0.31493701259748053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45519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45883</v>
      </c>
      <c r="D23" s="27">
        <f>IFERROR(INDEX(Données!F:F,MATCH($D$4&amp;"|"&amp;TEXT(B23,"aaaa-mm-jj"),Données!A:A,0)),0)</f>
        <v>0</v>
      </c>
      <c r="E23" s="68">
        <f>IFERROR(INDEX(Données!F:F,MATCH($E$4&amp;"|"&amp;TEXT(C23,"aaaa-mm-jj"),Données!A:A,0)),"")</f>
        <v>924.8</v>
      </c>
      <c r="F23" s="3">
        <f t="shared" si="0"/>
        <v>924.8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45520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45884</v>
      </c>
      <c r="D24" s="27">
        <f>IFERROR(INDEX(Données!F:F,MATCH($D$4&amp;"|"&amp;TEXT(B24,"aaaa-mm-jj"),Données!A:A,0)),0)</f>
        <v>347</v>
      </c>
      <c r="E24" s="68">
        <f>IFERROR(INDEX(Données!F:F,MATCH($E$4&amp;"|"&amp;TEXT(C24,"aaaa-mm-jj"),Données!A:A,0)),"")</f>
        <v>0</v>
      </c>
      <c r="F24" s="3">
        <f t="shared" si="0"/>
        <v>-347</v>
      </c>
      <c r="G24" s="4">
        <f t="shared" si="1"/>
        <v>-1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45521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45885</v>
      </c>
      <c r="D25" s="27">
        <f>IFERROR(INDEX(Données!F:F,MATCH($D$4&amp;"|"&amp;TEXT(B25,"aaaa-mm-jj"),Données!A:A,0)),0)</f>
        <v>332</v>
      </c>
      <c r="E25" s="68">
        <f>IFERROR(INDEX(Données!F:F,MATCH($E$4&amp;"|"&amp;TEXT(C25,"aaaa-mm-jj"),Données!A:A,0)),"")</f>
        <v>284</v>
      </c>
      <c r="F25" s="3">
        <f t="shared" si="0"/>
        <v>-48</v>
      </c>
      <c r="G25" s="4">
        <f t="shared" si="1"/>
        <v>-0.14457831325301204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45522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45886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45523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45887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45524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45888</v>
      </c>
      <c r="D28" s="27">
        <f>IFERROR(INDEX(Données!F:F,MATCH($D$4&amp;"|"&amp;TEXT(B28,"aaaa-mm-jj"),Données!A:A,0)),0)</f>
        <v>586</v>
      </c>
      <c r="E28" s="68">
        <f>IFERROR(INDEX(Données!F:F,MATCH($E$4&amp;"|"&amp;TEXT(C28,"aaaa-mm-jj"),Données!A:A,0)),"")</f>
        <v>687</v>
      </c>
      <c r="F28" s="3">
        <f t="shared" si="0"/>
        <v>101</v>
      </c>
      <c r="G28" s="4">
        <f t="shared" si="1"/>
        <v>0.17235494880546076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45525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45889</v>
      </c>
      <c r="D29" s="27">
        <f>IFERROR(INDEX(Données!F:F,MATCH($D$4&amp;"|"&amp;TEXT(B29,"aaaa-mm-jj"),Données!A:A,0)),0)</f>
        <v>760</v>
      </c>
      <c r="E29" s="68">
        <f>IFERROR(INDEX(Données!F:F,MATCH($E$4&amp;"|"&amp;TEXT(C29,"aaaa-mm-jj"),Données!A:A,0)),"")</f>
        <v>785</v>
      </c>
      <c r="F29" s="3">
        <f t="shared" si="0"/>
        <v>25</v>
      </c>
      <c r="G29" s="4">
        <f t="shared" si="1"/>
        <v>3.2894736842105261E-2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45526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45890</v>
      </c>
      <c r="D30" s="27">
        <f>IFERROR(INDEX(Données!F:F,MATCH($D$4&amp;"|"&amp;TEXT(B30,"aaaa-mm-jj"),Données!A:A,0)),0)</f>
        <v>616</v>
      </c>
      <c r="E30" s="68">
        <f>IFERROR(INDEX(Données!F:F,MATCH($E$4&amp;"|"&amp;TEXT(C30,"aaaa-mm-jj"),Données!A:A,0)),"")</f>
        <v>823.2</v>
      </c>
      <c r="F30" s="3">
        <f t="shared" si="0"/>
        <v>207.20000000000005</v>
      </c>
      <c r="G30" s="4">
        <f t="shared" si="1"/>
        <v>0.33636363636363642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45527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45891</v>
      </c>
      <c r="D31" s="27">
        <f>IFERROR(INDEX(Données!F:F,MATCH($D$4&amp;"|"&amp;TEXT(B31,"aaaa-mm-jj"),Données!A:A,0)),0)</f>
        <v>584</v>
      </c>
      <c r="E31" s="68">
        <f>IFERROR(INDEX(Données!F:F,MATCH($E$4&amp;"|"&amp;TEXT(C31,"aaaa-mm-jj"),Données!A:A,0)),"")</f>
        <v>881</v>
      </c>
      <c r="F31" s="3">
        <f t="shared" si="0"/>
        <v>297</v>
      </c>
      <c r="G31" s="4">
        <f t="shared" si="1"/>
        <v>0.50856164383561642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45528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45892</v>
      </c>
      <c r="D32" s="27">
        <f>IFERROR(INDEX(Données!F:F,MATCH($D$4&amp;"|"&amp;TEXT(B32,"aaaa-mm-jj"),Données!A:A,0)),0)</f>
        <v>20</v>
      </c>
      <c r="E32" s="68">
        <f>IFERROR(INDEX(Données!F:F,MATCH($E$4&amp;"|"&amp;TEXT(C32,"aaaa-mm-jj"),Données!A:A,0)),"")</f>
        <v>45</v>
      </c>
      <c r="F32" s="3">
        <f t="shared" si="0"/>
        <v>25</v>
      </c>
      <c r="G32" s="4">
        <f t="shared" si="1"/>
        <v>1.25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45529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45893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45530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45894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45531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45895</v>
      </c>
      <c r="D35" s="27">
        <f>IFERROR(INDEX(Données!F:F,MATCH($D$4&amp;"|"&amp;TEXT(B35,"aaaa-mm-jj"),Données!A:A,0)),0)</f>
        <v>586</v>
      </c>
      <c r="E35" s="68">
        <f>IFERROR(INDEX(Données!F:F,MATCH($E$4&amp;"|"&amp;TEXT(C35,"aaaa-mm-jj"),Données!A:A,0)),"")</f>
        <v>880</v>
      </c>
      <c r="F35" s="3">
        <f t="shared" si="0"/>
        <v>294</v>
      </c>
      <c r="G35" s="4">
        <f t="shared" si="1"/>
        <v>0.50170648464163825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45532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45896</v>
      </c>
      <c r="D36" s="27">
        <f>IFERROR(INDEX(Données!F:F,MATCH($D$4&amp;"|"&amp;TEXT(B36,"aaaa-mm-jj"),Données!A:A,0)),0)</f>
        <v>534</v>
      </c>
      <c r="E36" s="68">
        <f>IFERROR(INDEX(Données!F:F,MATCH($E$4&amp;"|"&amp;TEXT(C36,"aaaa-mm-jj"),Données!A:A,0)),"")</f>
        <v>616</v>
      </c>
      <c r="F36" s="3">
        <f t="shared" si="0"/>
        <v>82</v>
      </c>
      <c r="G36" s="4">
        <f t="shared" si="1"/>
        <v>0.15355805243445692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45533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45897</v>
      </c>
      <c r="D37" s="27">
        <f>IFERROR(INDEX(Données!F:F,MATCH($D$4&amp;"|"&amp;TEXT(B37,"aaaa-mm-jj"),Données!A:A,0)),0)</f>
        <v>740</v>
      </c>
      <c r="E37" s="68">
        <f>IFERROR(INDEX(Données!F:F,MATCH($E$4&amp;"|"&amp;TEXT(C37,"aaaa-mm-jj"),Données!A:A,0)),"")</f>
        <v>660</v>
      </c>
      <c r="F37" s="3">
        <f t="shared" si="0"/>
        <v>-80</v>
      </c>
      <c r="G37" s="4">
        <f t="shared" si="1"/>
        <v>-0.10810810810810811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45534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45898</v>
      </c>
      <c r="D38" s="27">
        <f>IFERROR(INDEX(Données!F:F,MATCH($D$4&amp;"|"&amp;TEXT(B38,"aaaa-mm-jj"),Données!A:A,0)),0)</f>
        <v>564</v>
      </c>
      <c r="E38" s="68">
        <f>IFERROR(INDEX(Données!F:F,MATCH($E$4&amp;"|"&amp;TEXT(C38,"aaaa-mm-jj"),Données!A:A,0)),"")</f>
        <v>760</v>
      </c>
      <c r="F38" s="3">
        <f t="shared" si="0"/>
        <v>196</v>
      </c>
      <c r="G38" s="4">
        <f t="shared" si="1"/>
        <v>0.3475177304964539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45535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45899</v>
      </c>
      <c r="D39" s="27">
        <f>IFERROR(INDEX(Données!F:F,MATCH($D$4&amp;"|"&amp;TEXT(B39,"aaaa-mm-jj"),Données!A:A,0)),0)</f>
        <v>335</v>
      </c>
      <c r="E39" s="68">
        <f>IFERROR(INDEX(Données!F:F,MATCH($E$4&amp;"|"&amp;TEXT(C39,"aaaa-mm-jj"),Données!A:A,0)),"")</f>
        <v>134</v>
      </c>
      <c r="F39" s="3">
        <f t="shared" si="0"/>
        <v>-201</v>
      </c>
      <c r="G39" s="4">
        <f t="shared" si="1"/>
        <v>-0.6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45536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45900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45537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45901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45538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45902</v>
      </c>
      <c r="D42" s="27">
        <f>IFERROR(INDEX(Données!F:F,MATCH($D$4&amp;"|"&amp;TEXT(B42,"aaaa-mm-jj"),Données!A:A,0)),0)</f>
        <v>753</v>
      </c>
      <c r="E42" s="68">
        <f>IFERROR(INDEX(Données!F:F,MATCH($E$4&amp;"|"&amp;TEXT(C42,"aaaa-mm-jj"),Données!A:A,0)),"")</f>
        <v>456</v>
      </c>
      <c r="F42" s="3">
        <f t="shared" si="0"/>
        <v>-297</v>
      </c>
      <c r="G42" s="4">
        <f t="shared" si="1"/>
        <v>-0.39442231075697209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45539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45903</v>
      </c>
      <c r="D43" s="27">
        <f>IFERROR(INDEX(Données!F:F,MATCH($D$4&amp;"|"&amp;TEXT(B43,"aaaa-mm-jj"),Données!A:A,0)),0)</f>
        <v>979</v>
      </c>
      <c r="E43" s="68">
        <f>IFERROR(INDEX(Données!F:F,MATCH($E$4&amp;"|"&amp;TEXT(C43,"aaaa-mm-jj"),Données!A:A,0)),"")</f>
        <v>981</v>
      </c>
      <c r="F43" s="3">
        <f t="shared" si="0"/>
        <v>2</v>
      </c>
      <c r="G43" s="4">
        <f t="shared" si="1"/>
        <v>2.0429009193054137E-3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45905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45906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45907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45908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45909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45910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45911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45912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45913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45914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12715.5</v>
      </c>
      <c r="E54" s="28">
        <f>SUMIFS(E:E, C:C, "&gt;="&amp;DATE(YEAR($M$2),MONTH($M$2),1), C:C, "&lt;"&amp;DATE(YEAR($M$2),MONTH($M$2)+1,1))</f>
        <v>13436</v>
      </c>
      <c r="F54" s="29">
        <f>E54 - D54</f>
        <v>720.5</v>
      </c>
      <c r="G54" s="30">
        <f>IFERROR((E54-D54)/D54,0)</f>
        <v>5.6663127678817191E-2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juillet!D56 + D54</f>
        <v>23753.5</v>
      </c>
      <c r="E56" s="5">
        <f>juillet!E56 + E54</f>
        <v>27343.8</v>
      </c>
      <c r="F56" s="6">
        <f>E56-D56</f>
        <v>3590.2999999999993</v>
      </c>
      <c r="G56" s="7">
        <f>IFERROR((E56-D56)/D56,0)</f>
        <v>0.15114825183657143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65" priority="5">
      <formula>$A5="lundi"</formula>
    </cfRule>
    <cfRule type="expression" dxfId="64" priority="6">
      <formula>$A5="dimanche"</formula>
    </cfRule>
  </conditionalFormatting>
  <conditionalFormatting sqref="C6:C53">
    <cfRule type="expression" dxfId="63" priority="4">
      <formula>MONTH($C6)&lt;&gt;MONTH($M$2)</formula>
    </cfRule>
  </conditionalFormatting>
  <conditionalFormatting sqref="B6:B53">
    <cfRule type="expression" dxfId="62" priority="3">
      <formula>MONTH($B6)&lt;&gt;MONTH($M$3)</formula>
    </cfRule>
  </conditionalFormatting>
  <conditionalFormatting sqref="E6:E53">
    <cfRule type="expression" dxfId="61" priority="2">
      <formula>MONTH($C6)&lt;&gt;MONTH($M$2)</formula>
    </cfRule>
  </conditionalFormatting>
  <conditionalFormatting sqref="D6:D53">
    <cfRule type="expression" dxfId="60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8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9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0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1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2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3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4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5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6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89D735-5246-4542-B8B6-2E99F79FA6C5}">
          <x14:formula1>
            <xm:f>Feuil1!$A$1:$A$19</xm:f>
          </x14:formula1>
          <xm:sqref>D4:E4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C0181-6BBE-4CE3-A0CC-B1EAB75E57C5}">
  <sheetPr codeName="Feuil4"/>
  <dimension ref="A1:O1228"/>
  <sheetViews>
    <sheetView showGridLines="0" topLeftCell="A26" workbookViewId="0">
      <selection activeCell="E40" sqref="E40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265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45901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45536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45901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45530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45901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45531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45902</v>
      </c>
      <c r="D7" s="27">
        <f>IFERROR(INDEX(Données!F:F,MATCH($D$4&amp;"|"&amp;TEXT(B7,"aaaa-mm-jj"),Données!A:A,0)),0)</f>
        <v>586</v>
      </c>
      <c r="E7" s="68">
        <f>IFERROR(INDEX(Données!F:F,MATCH($E$4&amp;"|"&amp;TEXT(C7,"aaaa-mm-jj"),Données!A:A,0)),"")</f>
        <v>456</v>
      </c>
      <c r="F7" s="3">
        <f t="shared" si="0"/>
        <v>-130</v>
      </c>
      <c r="G7" s="4">
        <f t="shared" si="1"/>
        <v>-0.22184300341296928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45532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45903</v>
      </c>
      <c r="D8" s="27">
        <f>IFERROR(INDEX(Données!F:F,MATCH($D$4&amp;"|"&amp;TEXT(B8,"aaaa-mm-jj"),Données!A:A,0)),0)</f>
        <v>534</v>
      </c>
      <c r="E8" s="68">
        <f>IFERROR(INDEX(Données!F:F,MATCH($E$4&amp;"|"&amp;TEXT(C8,"aaaa-mm-jj"),Données!A:A,0)),"")</f>
        <v>981</v>
      </c>
      <c r="F8" s="3">
        <f t="shared" si="0"/>
        <v>447</v>
      </c>
      <c r="G8" s="4">
        <f t="shared" si="1"/>
        <v>0.8370786516853933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45533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45904</v>
      </c>
      <c r="D9" s="27">
        <f>IFERROR(INDEX(Données!F:F,MATCH($D$4&amp;"|"&amp;TEXT(B9,"aaaa-mm-jj"),Données!A:A,0)),0)</f>
        <v>740</v>
      </c>
      <c r="E9" s="68">
        <f>IFERROR(INDEX(Données!F:F,MATCH($E$4&amp;"|"&amp;TEXT(C9,"aaaa-mm-jj"),Données!A:A,0)),"")</f>
        <v>767</v>
      </c>
      <c r="F9" s="3">
        <f t="shared" si="0"/>
        <v>27</v>
      </c>
      <c r="G9" s="4">
        <f t="shared" si="1"/>
        <v>3.6486486486486489E-2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45534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45905</v>
      </c>
      <c r="D10" s="27">
        <f>IFERROR(INDEX(Données!F:F,MATCH($D$4&amp;"|"&amp;TEXT(B10,"aaaa-mm-jj"),Données!A:A,0)),0)</f>
        <v>564</v>
      </c>
      <c r="E10" s="68">
        <f>IFERROR(INDEX(Données!F:F,MATCH($E$4&amp;"|"&amp;TEXT(C10,"aaaa-mm-jj"),Données!A:A,0)),"")</f>
        <v>1273</v>
      </c>
      <c r="F10" s="3">
        <f t="shared" si="0"/>
        <v>709</v>
      </c>
      <c r="G10" s="4">
        <f t="shared" si="1"/>
        <v>1.2570921985815602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45535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45906</v>
      </c>
      <c r="D11" s="27">
        <f>IFERROR(INDEX(Données!F:F,MATCH($D$4&amp;"|"&amp;TEXT(B11,"aaaa-mm-jj"),Données!A:A,0)),0)</f>
        <v>335</v>
      </c>
      <c r="E11" s="68">
        <f>IFERROR(INDEX(Données!F:F,MATCH($E$4&amp;"|"&amp;TEXT(C11,"aaaa-mm-jj"),Données!A:A,0)),"")</f>
        <v>133</v>
      </c>
      <c r="F11" s="3">
        <f t="shared" si="0"/>
        <v>-202</v>
      </c>
      <c r="G11" s="4">
        <f t="shared" si="1"/>
        <v>-0.60298507462686568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45536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45907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45537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45908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45538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45909</v>
      </c>
      <c r="D14" s="27">
        <f>IFERROR(INDEX(Données!F:F,MATCH($D$4&amp;"|"&amp;TEXT(B14,"aaaa-mm-jj"),Données!A:A,0)),0)</f>
        <v>753</v>
      </c>
      <c r="E14" s="68">
        <f>IFERROR(INDEX(Données!F:F,MATCH($E$4&amp;"|"&amp;TEXT(C14,"aaaa-mm-jj"),Données!A:A,0)),"")</f>
        <v>737</v>
      </c>
      <c r="F14" s="3">
        <f t="shared" si="0"/>
        <v>-16</v>
      </c>
      <c r="G14" s="4">
        <f t="shared" si="1"/>
        <v>-2.1248339973439574E-2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45539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45910</v>
      </c>
      <c r="D15" s="27">
        <f>IFERROR(INDEX(Données!F:F,MATCH($D$4&amp;"|"&amp;TEXT(B15,"aaaa-mm-jj"),Données!A:A,0)),0)</f>
        <v>979</v>
      </c>
      <c r="E15" s="68">
        <f>IFERROR(INDEX(Données!F:F,MATCH($E$4&amp;"|"&amp;TEXT(C15,"aaaa-mm-jj"),Données!A:A,0)),"")</f>
        <v>1038.4000000000001</v>
      </c>
      <c r="F15" s="3">
        <f t="shared" si="0"/>
        <v>59.400000000000091</v>
      </c>
      <c r="G15" s="4">
        <f t="shared" si="1"/>
        <v>6.0674157303370876E-2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45540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45911</v>
      </c>
      <c r="D16" s="27">
        <f>IFERROR(INDEX(Données!F:F,MATCH($D$4&amp;"|"&amp;TEXT(B16,"aaaa-mm-jj"),Données!A:A,0)),0)</f>
        <v>890.8</v>
      </c>
      <c r="E16" s="68">
        <f>IFERROR(INDEX(Données!F:F,MATCH($E$4&amp;"|"&amp;TEXT(C16,"aaaa-mm-jj"),Données!A:A,0)),"")</f>
        <v>910.8</v>
      </c>
      <c r="F16" s="3">
        <f t="shared" si="0"/>
        <v>20</v>
      </c>
      <c r="G16" s="4">
        <f t="shared" si="1"/>
        <v>2.2451728783116302E-2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45541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45912</v>
      </c>
      <c r="D17" s="27">
        <f>IFERROR(INDEX(Données!F:F,MATCH($D$4&amp;"|"&amp;TEXT(B17,"aaaa-mm-jj"),Données!A:A,0)),0)</f>
        <v>753</v>
      </c>
      <c r="E17" s="68">
        <f>IFERROR(INDEX(Données!F:F,MATCH($E$4&amp;"|"&amp;TEXT(C17,"aaaa-mm-jj"),Données!A:A,0)),"")</f>
        <v>931</v>
      </c>
      <c r="F17" s="3">
        <f t="shared" si="0"/>
        <v>178</v>
      </c>
      <c r="G17" s="4">
        <f t="shared" si="1"/>
        <v>0.23638778220451528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45542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45913</v>
      </c>
      <c r="D18" s="27">
        <f>IFERROR(INDEX(Données!F:F,MATCH($D$4&amp;"|"&amp;TEXT(B18,"aaaa-mm-jj"),Données!A:A,0)),0)</f>
        <v>276</v>
      </c>
      <c r="E18" s="68">
        <f>IFERROR(INDEX(Données!F:F,MATCH($E$4&amp;"|"&amp;TEXT(C18,"aaaa-mm-jj"),Données!A:A,0)),"")</f>
        <v>347</v>
      </c>
      <c r="F18" s="3">
        <f t="shared" si="0"/>
        <v>71</v>
      </c>
      <c r="G18" s="4">
        <f t="shared" si="1"/>
        <v>0.25724637681159418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45543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45914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45544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45915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45545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45916</v>
      </c>
      <c r="D21" s="27">
        <f>IFERROR(INDEX(Données!F:F,MATCH($D$4&amp;"|"&amp;TEXT(B21,"aaaa-mm-jj"),Données!A:A,0)),0)</f>
        <v>631</v>
      </c>
      <c r="E21" s="68">
        <f>IFERROR(INDEX(Données!F:F,MATCH($E$4&amp;"|"&amp;TEXT(C21,"aaaa-mm-jj"),Données!A:A,0)),"")</f>
        <v>155</v>
      </c>
      <c r="F21" s="3">
        <f t="shared" si="0"/>
        <v>-476</v>
      </c>
      <c r="G21" s="4">
        <f t="shared" si="1"/>
        <v>-0.75435816164817748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45546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45917</v>
      </c>
      <c r="D22" s="27">
        <f>IFERROR(INDEX(Données!F:F,MATCH($D$4&amp;"|"&amp;TEXT(B22,"aaaa-mm-jj"),Données!A:A,0)),0)</f>
        <v>790</v>
      </c>
      <c r="E22" s="68">
        <f>IFERROR(INDEX(Données!F:F,MATCH($E$4&amp;"|"&amp;TEXT(C22,"aaaa-mm-jj"),Données!A:A,0)),"")</f>
        <v>532</v>
      </c>
      <c r="F22" s="3">
        <f t="shared" si="0"/>
        <v>-258</v>
      </c>
      <c r="G22" s="4">
        <f t="shared" si="1"/>
        <v>-0.32658227848101268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45547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45918</v>
      </c>
      <c r="D23" s="27">
        <f>IFERROR(INDEX(Données!F:F,MATCH($D$4&amp;"|"&amp;TEXT(B23,"aaaa-mm-jj"),Données!A:A,0)),0)</f>
        <v>898</v>
      </c>
      <c r="E23" s="68">
        <f>IFERROR(INDEX(Données!F:F,MATCH($E$4&amp;"|"&amp;TEXT(C23,"aaaa-mm-jj"),Données!A:A,0)),"")</f>
        <v>507</v>
      </c>
      <c r="F23" s="3">
        <f t="shared" si="0"/>
        <v>-391</v>
      </c>
      <c r="G23" s="4">
        <f t="shared" si="1"/>
        <v>-0.43541202672605789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45548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45919</v>
      </c>
      <c r="D24" s="27">
        <f>IFERROR(INDEX(Données!F:F,MATCH($D$4&amp;"|"&amp;TEXT(B24,"aaaa-mm-jj"),Données!A:A,0)),0)</f>
        <v>712</v>
      </c>
      <c r="E24" s="68">
        <f>IFERROR(INDEX(Données!F:F,MATCH($E$4&amp;"|"&amp;TEXT(C24,"aaaa-mm-jj"),Données!A:A,0)),"")</f>
        <v>456</v>
      </c>
      <c r="F24" s="3">
        <f t="shared" si="0"/>
        <v>-256</v>
      </c>
      <c r="G24" s="4">
        <f t="shared" si="1"/>
        <v>-0.3595505617977528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45549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45920</v>
      </c>
      <c r="D25" s="27">
        <f>IFERROR(INDEX(Données!F:F,MATCH($D$4&amp;"|"&amp;TEXT(B25,"aaaa-mm-jj"),Données!A:A,0)),0)</f>
        <v>196</v>
      </c>
      <c r="E25" s="68">
        <f>IFERROR(INDEX(Données!F:F,MATCH($E$4&amp;"|"&amp;TEXT(C25,"aaaa-mm-jj"),Données!A:A,0)),"")</f>
        <v>392</v>
      </c>
      <c r="F25" s="3">
        <f t="shared" si="0"/>
        <v>196</v>
      </c>
      <c r="G25" s="4">
        <f t="shared" si="1"/>
        <v>1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45550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45921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45551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45922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45552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45923</v>
      </c>
      <c r="D28" s="27">
        <f>IFERROR(INDEX(Données!F:F,MATCH($D$4&amp;"|"&amp;TEXT(B28,"aaaa-mm-jj"),Données!A:A,0)),0)</f>
        <v>368</v>
      </c>
      <c r="E28" s="68">
        <f>IFERROR(INDEX(Données!F:F,MATCH($E$4&amp;"|"&amp;TEXT(C28,"aaaa-mm-jj"),Données!A:A,0)),"")</f>
        <v>426</v>
      </c>
      <c r="F28" s="3">
        <f t="shared" si="0"/>
        <v>58</v>
      </c>
      <c r="G28" s="4">
        <f t="shared" si="1"/>
        <v>0.15760869565217392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45553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45924</v>
      </c>
      <c r="D29" s="27">
        <f>IFERROR(INDEX(Données!F:F,MATCH($D$4&amp;"|"&amp;TEXT(B29,"aaaa-mm-jj"),Données!A:A,0)),0)</f>
        <v>287</v>
      </c>
      <c r="E29" s="68">
        <f>IFERROR(INDEX(Données!F:F,MATCH($E$4&amp;"|"&amp;TEXT(C29,"aaaa-mm-jj"),Données!A:A,0)),"")</f>
        <v>365</v>
      </c>
      <c r="F29" s="3">
        <f t="shared" si="0"/>
        <v>78</v>
      </c>
      <c r="G29" s="4">
        <f t="shared" si="1"/>
        <v>0.27177700348432055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45554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45925</v>
      </c>
      <c r="D30" s="27">
        <f>IFERROR(INDEX(Données!F:F,MATCH($D$4&amp;"|"&amp;TEXT(B30,"aaaa-mm-jj"),Données!A:A,0)),0)</f>
        <v>452</v>
      </c>
      <c r="E30" s="68">
        <f>IFERROR(INDEX(Données!F:F,MATCH($E$4&amp;"|"&amp;TEXT(C30,"aaaa-mm-jj"),Données!A:A,0)),"")</f>
        <v>290</v>
      </c>
      <c r="F30" s="3">
        <f t="shared" si="0"/>
        <v>-162</v>
      </c>
      <c r="G30" s="4">
        <f t="shared" si="1"/>
        <v>-0.3584070796460177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45555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45926</v>
      </c>
      <c r="D31" s="27">
        <f>IFERROR(INDEX(Données!F:F,MATCH($D$4&amp;"|"&amp;TEXT(B31,"aaaa-mm-jj"),Données!A:A,0)),0)</f>
        <v>385</v>
      </c>
      <c r="E31" s="68">
        <f>IFERROR(INDEX(Données!F:F,MATCH($E$4&amp;"|"&amp;TEXT(C31,"aaaa-mm-jj"),Données!A:A,0)),"")</f>
        <v>226</v>
      </c>
      <c r="F31" s="3">
        <f t="shared" si="0"/>
        <v>-159</v>
      </c>
      <c r="G31" s="4">
        <f t="shared" si="1"/>
        <v>-0.41298701298701301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45556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45927</v>
      </c>
      <c r="D32" s="27">
        <f>IFERROR(INDEX(Données!F:F,MATCH($D$4&amp;"|"&amp;TEXT(B32,"aaaa-mm-jj"),Données!A:A,0)),0)</f>
        <v>418</v>
      </c>
      <c r="E32" s="68">
        <f>IFERROR(INDEX(Données!F:F,MATCH($E$4&amp;"|"&amp;TEXT(C32,"aaaa-mm-jj"),Données!A:A,0)),"")</f>
        <v>178</v>
      </c>
      <c r="F32" s="3">
        <f t="shared" si="0"/>
        <v>-240</v>
      </c>
      <c r="G32" s="4">
        <f t="shared" si="1"/>
        <v>-0.57416267942583732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45557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45928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45558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45929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45559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45930</v>
      </c>
      <c r="D35" s="27">
        <f>IFERROR(INDEX(Données!F:F,MATCH($D$4&amp;"|"&amp;TEXT(B35,"aaaa-mm-jj"),Données!A:A,0)),0)</f>
        <v>605.79999999999995</v>
      </c>
      <c r="E35" s="68">
        <f>IFERROR(INDEX(Données!F:F,MATCH($E$4&amp;"|"&amp;TEXT(C35,"aaaa-mm-jj"),Données!A:A,0)),"")</f>
        <v>452</v>
      </c>
      <c r="F35" s="3">
        <f t="shared" si="0"/>
        <v>-153.79999999999995</v>
      </c>
      <c r="G35" s="4">
        <f t="shared" si="1"/>
        <v>-0.25387916804225813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45560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45931</v>
      </c>
      <c r="D36" s="27">
        <f>IFERROR(INDEX(Données!F:F,MATCH($D$4&amp;"|"&amp;TEXT(B36,"aaaa-mm-jj"),Données!A:A,0)),0)</f>
        <v>502</v>
      </c>
      <c r="E36" s="68">
        <f>IFERROR(INDEX(Données!F:F,MATCH($E$4&amp;"|"&amp;TEXT(C36,"aaaa-mm-jj"),Données!A:A,0)),"")</f>
        <v>417</v>
      </c>
      <c r="F36" s="3">
        <f t="shared" si="0"/>
        <v>-85</v>
      </c>
      <c r="G36" s="4">
        <f t="shared" si="1"/>
        <v>-0.1693227091633466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45561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45932</v>
      </c>
      <c r="D37" s="27">
        <f>IFERROR(INDEX(Données!F:F,MATCH($D$4&amp;"|"&amp;TEXT(B37,"aaaa-mm-jj"),Données!A:A,0)),0)</f>
        <v>381</v>
      </c>
      <c r="E37" s="68">
        <f>IFERROR(INDEX(Données!F:F,MATCH($E$4&amp;"|"&amp;TEXT(C37,"aaaa-mm-jj"),Données!A:A,0)),"")</f>
        <v>576</v>
      </c>
      <c r="F37" s="3">
        <f t="shared" si="0"/>
        <v>195</v>
      </c>
      <c r="G37" s="4">
        <f t="shared" si="1"/>
        <v>0.51181102362204722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45562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45933</v>
      </c>
      <c r="D38" s="27">
        <f>IFERROR(INDEX(Données!F:F,MATCH($D$4&amp;"|"&amp;TEXT(B38,"aaaa-mm-jj"),Données!A:A,0)),0)</f>
        <v>320</v>
      </c>
      <c r="E38" s="68">
        <f>IFERROR(INDEX(Données!F:F,MATCH($E$4&amp;"|"&amp;TEXT(C38,"aaaa-mm-jj"),Données!A:A,0)),"")</f>
        <v>1034</v>
      </c>
      <c r="F38" s="3">
        <f t="shared" si="0"/>
        <v>714</v>
      </c>
      <c r="G38" s="4">
        <f t="shared" si="1"/>
        <v>2.2312500000000002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45563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45934</v>
      </c>
      <c r="D39" s="27">
        <f>IFERROR(INDEX(Données!F:F,MATCH($D$4&amp;"|"&amp;TEXT(B39,"aaaa-mm-jj"),Données!A:A,0)),0)</f>
        <v>421</v>
      </c>
      <c r="E39" s="68">
        <f>IFERROR(INDEX(Données!F:F,MATCH($E$4&amp;"|"&amp;TEXT(C39,"aaaa-mm-jj"),Données!A:A,0)),0)</f>
        <v>271</v>
      </c>
      <c r="F39" s="3">
        <f t="shared" si="0"/>
        <v>-150</v>
      </c>
      <c r="G39" s="4">
        <f t="shared" si="1"/>
        <v>-0.35629453681710216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45564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45935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IFERROR(INDEX(Données!F:F,MATCH($E$4&amp;"|"&amp;TEXT(C40,"aaaa-mm-jj"),Données!A:A,0)),"")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45565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45936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45566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45937</v>
      </c>
      <c r="D42" s="27">
        <f>IFERROR(INDEX(Données!F:F,MATCH($D$4&amp;"|"&amp;TEXT(B42,"aaaa-mm-jj"),Données!A:A,0)),0)</f>
        <v>566</v>
      </c>
      <c r="E42" s="68">
        <f>IFERROR(INDEX(Données!F:F,MATCH($E$4&amp;"|"&amp;TEXT(C42,"aaaa-mm-jj"),Données!A:A,0)),"")</f>
        <v>847</v>
      </c>
      <c r="F42" s="3">
        <f t="shared" si="0"/>
        <v>281</v>
      </c>
      <c r="G42" s="4">
        <f t="shared" si="1"/>
        <v>0.49646643109540634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45567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45938</v>
      </c>
      <c r="D43" s="27">
        <f>IFERROR(INDEX(Données!F:F,MATCH($D$4&amp;"|"&amp;TEXT(B43,"aaaa-mm-jj"),Données!A:A,0)),0)</f>
        <v>897</v>
      </c>
      <c r="E43" s="68">
        <f>IFERROR(INDEX(Données!F:F,MATCH($E$4&amp;"|"&amp;TEXT(C43,"aaaa-mm-jj"),Données!A:A,0)),"")</f>
        <v>976</v>
      </c>
      <c r="F43" s="3">
        <f t="shared" si="0"/>
        <v>79</v>
      </c>
      <c r="G43" s="4">
        <f t="shared" si="1"/>
        <v>8.807134894091416E-2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45940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45941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45942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45943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45944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45945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45946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45947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45948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45949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11018.599999999999</v>
      </c>
      <c r="E54" s="28">
        <f>SUMIFS(E:E, C:C, "&gt;="&amp;DATE(YEAR($M$2),MONTH($M$2),1), C:C, "&lt;"&amp;DATE(YEAR($M$2),MONTH($M$2)+1,1))</f>
        <v>11553.2</v>
      </c>
      <c r="F54" s="29">
        <f>E54 - D54</f>
        <v>534.60000000000218</v>
      </c>
      <c r="G54" s="30">
        <f>IFERROR((E54-D54)/D54,0)</f>
        <v>4.8517960539451677E-2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août!D56 + D54</f>
        <v>34772.1</v>
      </c>
      <c r="E56" s="5">
        <f>août!E56 + E54</f>
        <v>38897</v>
      </c>
      <c r="F56" s="6">
        <f>E56-D56</f>
        <v>4124.9000000000015</v>
      </c>
      <c r="G56" s="7">
        <f>IFERROR((E56-D56)/D56,0)</f>
        <v>0.11862671509629852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59" priority="5">
      <formula>$A5="lundi"</formula>
    </cfRule>
    <cfRule type="expression" dxfId="58" priority="6">
      <formula>$A5="dimanche"</formula>
    </cfRule>
  </conditionalFormatting>
  <conditionalFormatting sqref="C6:C53">
    <cfRule type="expression" dxfId="57" priority="4">
      <formula>MONTH($C6)&lt;&gt;MONTH($M$2)</formula>
    </cfRule>
  </conditionalFormatting>
  <conditionalFormatting sqref="B6:B53">
    <cfRule type="expression" dxfId="56" priority="3">
      <formula>MONTH($B6)&lt;&gt;MONTH($M$3)</formula>
    </cfRule>
  </conditionalFormatting>
  <conditionalFormatting sqref="E6:E53">
    <cfRule type="expression" dxfId="55" priority="2">
      <formula>MONTH($C6)&lt;&gt;MONTH($M$2)</formula>
    </cfRule>
  </conditionalFormatting>
  <conditionalFormatting sqref="D6:D53">
    <cfRule type="expression" dxfId="54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1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2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3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4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5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6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7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8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9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0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E19D84-3543-4EE4-B362-86E86A9599C5}">
          <x14:formula1>
            <xm:f>Feuil1!$A$1:$A$19</xm:f>
          </x14:formula1>
          <xm:sqref>D4:E4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C4568-8EA8-46F7-9FF6-72BD90FEB594}">
  <sheetPr codeName="Feuil5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296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45931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45566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45929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45565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45929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45566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45930</v>
      </c>
      <c r="D7" s="27">
        <f>IFERROR(INDEX(Données!F:F,MATCH($D$4&amp;"|"&amp;TEXT(B7,"aaaa-mm-jj"),Données!A:A,0)),0)</f>
        <v>566</v>
      </c>
      <c r="E7" s="68">
        <f>IFERROR(INDEX(Données!F:F,MATCH($E$4&amp;"|"&amp;TEXT(C7,"aaaa-mm-jj"),Données!A:A,0)),"")</f>
        <v>452</v>
      </c>
      <c r="F7" s="3">
        <f t="shared" si="0"/>
        <v>-114</v>
      </c>
      <c r="G7" s="4">
        <f t="shared" si="1"/>
        <v>-0.20141342756183744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45567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45931</v>
      </c>
      <c r="D8" s="27">
        <f>IFERROR(INDEX(Données!F:F,MATCH($D$4&amp;"|"&amp;TEXT(B8,"aaaa-mm-jj"),Données!A:A,0)),0)</f>
        <v>897</v>
      </c>
      <c r="E8" s="68">
        <f>IFERROR(INDEX(Données!F:F,MATCH($E$4&amp;"|"&amp;TEXT(C8,"aaaa-mm-jj"),Données!A:A,0)),"")</f>
        <v>417</v>
      </c>
      <c r="F8" s="3">
        <f t="shared" si="0"/>
        <v>-480</v>
      </c>
      <c r="G8" s="4">
        <f t="shared" si="1"/>
        <v>-0.53511705685618727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45568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45932</v>
      </c>
      <c r="D9" s="27">
        <f>IFERROR(INDEX(Données!F:F,MATCH($D$4&amp;"|"&amp;TEXT(B9,"aaaa-mm-jj"),Données!A:A,0)),0)</f>
        <v>563</v>
      </c>
      <c r="E9" s="68">
        <f>IFERROR(INDEX(Données!F:F,MATCH($E$4&amp;"|"&amp;TEXT(C9,"aaaa-mm-jj"),Données!A:A,0)),"")</f>
        <v>576</v>
      </c>
      <c r="F9" s="3">
        <f t="shared" si="0"/>
        <v>13</v>
      </c>
      <c r="G9" s="4">
        <f t="shared" si="1"/>
        <v>2.3090586145648313E-2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45569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45933</v>
      </c>
      <c r="D10" s="27">
        <f>IFERROR(INDEX(Données!F:F,MATCH($D$4&amp;"|"&amp;TEXT(B10,"aaaa-mm-jj"),Données!A:A,0)),0)</f>
        <v>728</v>
      </c>
      <c r="E10" s="68">
        <f>IFERROR(INDEX(Données!F:F,MATCH($E$4&amp;"|"&amp;TEXT(C10,"aaaa-mm-jj"),Données!A:A,0)),"")</f>
        <v>1034</v>
      </c>
      <c r="F10" s="3">
        <f t="shared" si="0"/>
        <v>306</v>
      </c>
      <c r="G10" s="4">
        <f t="shared" si="1"/>
        <v>0.42032967032967034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45570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45934</v>
      </c>
      <c r="D11" s="27">
        <f>IFERROR(INDEX(Données!F:F,MATCH($D$4&amp;"|"&amp;TEXT(B11,"aaaa-mm-jj"),Données!A:A,0)),0)</f>
        <v>305</v>
      </c>
      <c r="E11" s="68">
        <f>IFERROR(INDEX(Données!F:F,MATCH($E$4&amp;"|"&amp;TEXT(C11,"aaaa-mm-jj"),Données!A:A,0)),"")</f>
        <v>271</v>
      </c>
      <c r="F11" s="3">
        <f t="shared" si="0"/>
        <v>-34</v>
      </c>
      <c r="G11" s="4">
        <f t="shared" si="1"/>
        <v>-0.11147540983606558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45571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45935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45572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45936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45573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45937</v>
      </c>
      <c r="D14" s="27">
        <f>IFERROR(INDEX(Données!F:F,MATCH($D$4&amp;"|"&amp;TEXT(B14,"aaaa-mm-jj"),Données!A:A,0)),0)</f>
        <v>505</v>
      </c>
      <c r="E14" s="68">
        <f>IFERROR(INDEX(Données!F:F,MATCH($E$4&amp;"|"&amp;TEXT(C14,"aaaa-mm-jj"),Données!A:A,0)),"")</f>
        <v>847</v>
      </c>
      <c r="F14" s="3">
        <f t="shared" si="0"/>
        <v>342</v>
      </c>
      <c r="G14" s="4">
        <f t="shared" si="1"/>
        <v>0.67722772277227727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45574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45938</v>
      </c>
      <c r="D15" s="27">
        <f>IFERROR(INDEX(Données!F:F,MATCH($D$4&amp;"|"&amp;TEXT(B15,"aaaa-mm-jj"),Données!A:A,0)),0)</f>
        <v>702</v>
      </c>
      <c r="E15" s="68">
        <f>IFERROR(INDEX(Données!F:F,MATCH($E$4&amp;"|"&amp;TEXT(C15,"aaaa-mm-jj"),Données!A:A,0)),"")</f>
        <v>976</v>
      </c>
      <c r="F15" s="3">
        <f t="shared" si="0"/>
        <v>274</v>
      </c>
      <c r="G15" s="4">
        <f t="shared" si="1"/>
        <v>0.3903133903133903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45575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45939</v>
      </c>
      <c r="D16" s="27">
        <f>IFERROR(INDEX(Données!F:F,MATCH($D$4&amp;"|"&amp;TEXT(B16,"aaaa-mm-jj"),Données!A:A,0)),0)</f>
        <v>341</v>
      </c>
      <c r="E16" s="68">
        <f>IFERROR(INDEX(Données!F:F,MATCH($E$4&amp;"|"&amp;TEXT(C16,"aaaa-mm-jj"),Données!A:A,0)),"")</f>
        <v>804</v>
      </c>
      <c r="F16" s="3">
        <f t="shared" si="0"/>
        <v>463</v>
      </c>
      <c r="G16" s="4">
        <f t="shared" si="1"/>
        <v>1.3577712609970674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45576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45940</v>
      </c>
      <c r="D17" s="27">
        <f>IFERROR(INDEX(Données!F:F,MATCH($D$4&amp;"|"&amp;TEXT(B17,"aaaa-mm-jj"),Données!A:A,0)),0)</f>
        <v>342</v>
      </c>
      <c r="E17" s="68">
        <f>IFERROR(INDEX(Données!F:F,MATCH($E$4&amp;"|"&amp;TEXT(C17,"aaaa-mm-jj"),Données!A:A,0)),"")</f>
        <v>721</v>
      </c>
      <c r="F17" s="3">
        <f t="shared" si="0"/>
        <v>379</v>
      </c>
      <c r="G17" s="4">
        <f t="shared" si="1"/>
        <v>1.1081871345029239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45577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45941</v>
      </c>
      <c r="D18" s="27">
        <f>IFERROR(INDEX(Données!F:F,MATCH($D$4&amp;"|"&amp;TEXT(B18,"aaaa-mm-jj"),Données!A:A,0)),0)</f>
        <v>293</v>
      </c>
      <c r="E18" s="68">
        <f>IFERROR(INDEX(Données!F:F,MATCH($E$4&amp;"|"&amp;TEXT(C18,"aaaa-mm-jj"),Données!A:A,0)),"")</f>
        <v>414</v>
      </c>
      <c r="F18" s="3">
        <f t="shared" si="0"/>
        <v>121</v>
      </c>
      <c r="G18" s="4">
        <f t="shared" si="1"/>
        <v>0.41296928327645049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45578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45942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45579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45943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45580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45944</v>
      </c>
      <c r="D21" s="27">
        <f>IFERROR(INDEX(Données!F:F,MATCH($D$4&amp;"|"&amp;TEXT(B21,"aaaa-mm-jj"),Données!A:A,0)),0)</f>
        <v>438</v>
      </c>
      <c r="E21" s="68">
        <f>IFERROR(INDEX(Données!F:F,MATCH($E$4&amp;"|"&amp;TEXT(C21,"aaaa-mm-jj"),Données!A:A,0)),"")</f>
        <v>308</v>
      </c>
      <c r="F21" s="3">
        <f t="shared" si="0"/>
        <v>-130</v>
      </c>
      <c r="G21" s="4">
        <f t="shared" si="1"/>
        <v>-0.29680365296803651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45581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45945</v>
      </c>
      <c r="D22" s="27">
        <f>IFERROR(INDEX(Données!F:F,MATCH($D$4&amp;"|"&amp;TEXT(B22,"aaaa-mm-jj"),Données!A:A,0)),0)</f>
        <v>441</v>
      </c>
      <c r="E22" s="68">
        <f>IFERROR(INDEX(Données!F:F,MATCH($E$4&amp;"|"&amp;TEXT(C22,"aaaa-mm-jj"),Données!A:A,0)),"")</f>
        <v>541</v>
      </c>
      <c r="F22" s="3">
        <f t="shared" si="0"/>
        <v>100</v>
      </c>
      <c r="G22" s="4">
        <f t="shared" si="1"/>
        <v>0.22675736961451248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45582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45946</v>
      </c>
      <c r="D23" s="27">
        <f>IFERROR(INDEX(Données!F:F,MATCH($D$4&amp;"|"&amp;TEXT(B23,"aaaa-mm-jj"),Données!A:A,0)),0)</f>
        <v>351</v>
      </c>
      <c r="E23" s="68">
        <f>IFERROR(INDEX(Données!F:F,MATCH($E$4&amp;"|"&amp;TEXT(C23,"aaaa-mm-jj"),Données!A:A,0)),"")</f>
        <v>784</v>
      </c>
      <c r="F23" s="3">
        <f t="shared" si="0"/>
        <v>433</v>
      </c>
      <c r="G23" s="4">
        <f t="shared" si="1"/>
        <v>1.2336182336182335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45583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45947</v>
      </c>
      <c r="D24" s="27">
        <f>IFERROR(INDEX(Données!F:F,MATCH($D$4&amp;"|"&amp;TEXT(B24,"aaaa-mm-jj"),Données!A:A,0)),0)</f>
        <v>445</v>
      </c>
      <c r="E24" s="68">
        <f>IFERROR(INDEX(Données!F:F,MATCH($E$4&amp;"|"&amp;TEXT(C24,"aaaa-mm-jj"),Données!A:A,0)),"")</f>
        <v>806</v>
      </c>
      <c r="F24" s="3">
        <f t="shared" si="0"/>
        <v>361</v>
      </c>
      <c r="G24" s="4">
        <f t="shared" si="1"/>
        <v>0.81123595505617974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45584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45948</v>
      </c>
      <c r="D25" s="27">
        <f>IFERROR(INDEX(Données!F:F,MATCH($D$4&amp;"|"&amp;TEXT(B25,"aaaa-mm-jj"),Données!A:A,0)),0)</f>
        <v>305</v>
      </c>
      <c r="E25" s="68">
        <f>IFERROR(INDEX(Données!F:F,MATCH($E$4&amp;"|"&amp;TEXT(C25,"aaaa-mm-jj"),Données!A:A,0)),"")</f>
        <v>167</v>
      </c>
      <c r="F25" s="3">
        <f t="shared" si="0"/>
        <v>-138</v>
      </c>
      <c r="G25" s="4">
        <f t="shared" si="1"/>
        <v>-0.4524590163934426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45585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45949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45586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45950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45587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45951</v>
      </c>
      <c r="D28" s="27">
        <f>IFERROR(INDEX(Données!F:F,MATCH($D$4&amp;"|"&amp;TEXT(B28,"aaaa-mm-jj"),Données!A:A,0)),0)</f>
        <v>579</v>
      </c>
      <c r="E28" s="68">
        <f>IFERROR(INDEX(Données!F:F,MATCH($E$4&amp;"|"&amp;TEXT(C28,"aaaa-mm-jj"),Données!A:A,0)),"")</f>
        <v>788</v>
      </c>
      <c r="F28" s="3">
        <f t="shared" si="0"/>
        <v>209</v>
      </c>
      <c r="G28" s="4">
        <f t="shared" si="1"/>
        <v>0.36096718480138168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45588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45952</v>
      </c>
      <c r="D29" s="27">
        <f>IFERROR(INDEX(Données!F:F,MATCH($D$4&amp;"|"&amp;TEXT(B29,"aaaa-mm-jj"),Données!A:A,0)),0)</f>
        <v>523</v>
      </c>
      <c r="E29" s="68">
        <f>IFERROR(INDEX(Données!F:F,MATCH($E$4&amp;"|"&amp;TEXT(C29,"aaaa-mm-jj"),Données!A:A,0)),"")</f>
        <v>641.4</v>
      </c>
      <c r="F29" s="3">
        <f t="shared" si="0"/>
        <v>118.39999999999998</v>
      </c>
      <c r="G29" s="4">
        <f t="shared" si="1"/>
        <v>0.22638623326959842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45589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45953</v>
      </c>
      <c r="D30" s="27">
        <f>IFERROR(INDEX(Données!F:F,MATCH($D$4&amp;"|"&amp;TEXT(B30,"aaaa-mm-jj"),Données!A:A,0)),0)</f>
        <v>610.5</v>
      </c>
      <c r="E30" s="68">
        <f>IFERROR(INDEX(Données!F:F,MATCH($E$4&amp;"|"&amp;TEXT(C30,"aaaa-mm-jj"),Données!A:A,0)),"")</f>
        <v>807</v>
      </c>
      <c r="F30" s="3">
        <f t="shared" si="0"/>
        <v>196.5</v>
      </c>
      <c r="G30" s="4">
        <f t="shared" si="1"/>
        <v>0.32186732186732187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45590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45954</v>
      </c>
      <c r="D31" s="27">
        <f>IFERROR(INDEX(Données!F:F,MATCH($D$4&amp;"|"&amp;TEXT(B31,"aaaa-mm-jj"),Données!A:A,0)),0)</f>
        <v>546</v>
      </c>
      <c r="E31" s="68">
        <f>IFERROR(INDEX(Données!F:F,MATCH($E$4&amp;"|"&amp;TEXT(C31,"aaaa-mm-jj"),Données!A:A,0)),"")</f>
        <v>832</v>
      </c>
      <c r="F31" s="3">
        <f t="shared" si="0"/>
        <v>286</v>
      </c>
      <c r="G31" s="4">
        <f t="shared" si="1"/>
        <v>0.52380952380952384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45591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45955</v>
      </c>
      <c r="D32" s="27">
        <f>IFERROR(INDEX(Données!F:F,MATCH($D$4&amp;"|"&amp;TEXT(B32,"aaaa-mm-jj"),Données!A:A,0)),0)</f>
        <v>347</v>
      </c>
      <c r="E32" s="68">
        <f>IFERROR(INDEX(Données!F:F,MATCH($E$4&amp;"|"&amp;TEXT(C32,"aaaa-mm-jj"),Données!A:A,0)),"")</f>
        <v>163</v>
      </c>
      <c r="F32" s="3">
        <f t="shared" si="0"/>
        <v>-184</v>
      </c>
      <c r="G32" s="4">
        <f t="shared" si="1"/>
        <v>-0.53025936599423629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45592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45956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45593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45957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45594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45958</v>
      </c>
      <c r="D35" s="27">
        <f>IFERROR(INDEX(Données!F:F,MATCH($D$4&amp;"|"&amp;TEXT(B35,"aaaa-mm-jj"),Données!A:A,0)),0)</f>
        <v>662</v>
      </c>
      <c r="E35" s="68">
        <f>IFERROR(INDEX(Données!F:F,MATCH($E$4&amp;"|"&amp;TEXT(C35,"aaaa-mm-jj"),Données!A:A,0)),"")</f>
        <v>809</v>
      </c>
      <c r="F35" s="3">
        <f t="shared" si="0"/>
        <v>147</v>
      </c>
      <c r="G35" s="4">
        <f t="shared" si="1"/>
        <v>0.22205438066465258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45595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45959</v>
      </c>
      <c r="D36" s="27">
        <f>IFERROR(INDEX(Données!F:F,MATCH($D$4&amp;"|"&amp;TEXT(B36,"aaaa-mm-jj"),Données!A:A,0)),0)</f>
        <v>514</v>
      </c>
      <c r="E36" s="68">
        <f>IFERROR(INDEX(Données!F:F,MATCH($E$4&amp;"|"&amp;TEXT(C36,"aaaa-mm-jj"),Données!A:A,0)),"")</f>
        <v>1058</v>
      </c>
      <c r="F36" s="3">
        <f t="shared" si="0"/>
        <v>544</v>
      </c>
      <c r="G36" s="4">
        <f t="shared" si="1"/>
        <v>1.0583657587548638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45596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45960</v>
      </c>
      <c r="D37" s="27">
        <f>IFERROR(INDEX(Données!F:F,MATCH($D$4&amp;"|"&amp;TEXT(B37,"aaaa-mm-jj"),Données!A:A,0)),0)</f>
        <v>411</v>
      </c>
      <c r="E37" s="68">
        <f>IFERROR(INDEX(Données!F:F,MATCH($E$4&amp;"|"&amp;TEXT(C37,"aaaa-mm-jj"),Données!A:A,0)),"")</f>
        <v>745</v>
      </c>
      <c r="F37" s="3">
        <f t="shared" si="0"/>
        <v>334</v>
      </c>
      <c r="G37" s="4">
        <f t="shared" si="1"/>
        <v>0.81265206812652069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45597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45961</v>
      </c>
      <c r="D38" s="27">
        <f>IFERROR(INDEX(Données!F:F,MATCH($D$4&amp;"|"&amp;TEXT(B38,"aaaa-mm-jj"),Données!A:A,0)),0)</f>
        <v>0</v>
      </c>
      <c r="E38" s="68">
        <f>IFERROR(INDEX(Données!F:F,MATCH($E$4&amp;"|"&amp;TEXT(C38,"aaaa-mm-jj"),Données!A:A,0)),"")</f>
        <v>574</v>
      </c>
      <c r="F38" s="3">
        <f t="shared" si="0"/>
        <v>574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45598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45962</v>
      </c>
      <c r="D39" s="27">
        <f>IFERROR(INDEX(Données!F:F,MATCH($D$4&amp;"|"&amp;TEXT(B39,"aaaa-mm-jj"),Données!A:A,0)),0)</f>
        <v>577</v>
      </c>
      <c r="E39" s="68">
        <f>IFERROR(INDEX(Données!F:F,MATCH($E$4&amp;"|"&amp;TEXT(C39,"aaaa-mm-jj"),Données!A:A,0)),"")</f>
        <v>0</v>
      </c>
      <c r="F39" s="3">
        <f t="shared" si="0"/>
        <v>-577</v>
      </c>
      <c r="G39" s="4">
        <f t="shared" si="1"/>
        <v>-1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45599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45963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IFERROR(INDEX(Données!F:F,MATCH($E$4&amp;"|"&amp;TEXT(C40,"aaaa-mm-jj"),Données!A:A,0)),"")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45600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45964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45601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45965</v>
      </c>
      <c r="D42" s="27">
        <f>IFERROR(INDEX(Données!F:F,MATCH($D$4&amp;"|"&amp;TEXT(B42,"aaaa-mm-jj"),Données!A:A,0)),0)</f>
        <v>897</v>
      </c>
      <c r="E42" s="68">
        <f>IFERROR(INDEX(Données!F:F,MATCH($E$4&amp;"|"&amp;TEXT(C42,"aaaa-mm-jj"),Données!A:A,0)),"")</f>
        <v>699</v>
      </c>
      <c r="F42" s="3">
        <f t="shared" si="0"/>
        <v>-198</v>
      </c>
      <c r="G42" s="4">
        <f t="shared" si="1"/>
        <v>-0.22073578595317725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45602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45966</v>
      </c>
      <c r="D43" s="27">
        <f>IFERROR(INDEX(Données!F:F,MATCH($D$4&amp;"|"&amp;TEXT(B43,"aaaa-mm-jj"),Données!A:A,0)),0)</f>
        <v>689</v>
      </c>
      <c r="E43" s="68">
        <f>IFERROR(INDEX(Données!F:F,MATCH($E$4&amp;"|"&amp;TEXT(C43,"aaaa-mm-jj"),Données!A:A,0)),"")</f>
        <v>943.4</v>
      </c>
      <c r="F43" s="3">
        <f t="shared" si="0"/>
        <v>254.39999999999998</v>
      </c>
      <c r="G43" s="4">
        <f t="shared" si="1"/>
        <v>0.3692307692307692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45968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45969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45970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45971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45972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45973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45974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45975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45976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45977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11414.5</v>
      </c>
      <c r="E54" s="28">
        <f>SUMIFS(E:E, C:C, "&gt;="&amp;DATE(YEAR($M$2),MONTH($M$2),1), C:C, "&lt;"&amp;DATE(YEAR($M$2),MONTH($M$2)+1,1))</f>
        <v>15083.4</v>
      </c>
      <c r="F54" s="29">
        <f>E54 - D54</f>
        <v>3668.8999999999996</v>
      </c>
      <c r="G54" s="30">
        <f>IFERROR((E54-D54)/D54,0)</f>
        <v>0.32142450392045202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septembre!D56 + D54</f>
        <v>46186.6</v>
      </c>
      <c r="E56" s="5">
        <f>septembre!E56 + E54</f>
        <v>53980.4</v>
      </c>
      <c r="F56" s="6">
        <f>E56-D56</f>
        <v>7793.8000000000029</v>
      </c>
      <c r="G56" s="7">
        <f>IFERROR((E56-D56)/D56,0)</f>
        <v>0.16874591331684954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53" priority="5">
      <formula>$A5="lundi"</formula>
    </cfRule>
    <cfRule type="expression" dxfId="52" priority="6">
      <formula>$A5="dimanche"</formula>
    </cfRule>
  </conditionalFormatting>
  <conditionalFormatting sqref="C6:C53">
    <cfRule type="expression" dxfId="51" priority="4">
      <formula>MONTH($C6)&lt;&gt;MONTH($M$2)</formula>
    </cfRule>
  </conditionalFormatting>
  <conditionalFormatting sqref="B6:B53">
    <cfRule type="expression" dxfId="50" priority="3">
      <formula>MONTH($B6)&lt;&gt;MONTH($M$3)</formula>
    </cfRule>
  </conditionalFormatting>
  <conditionalFormatting sqref="E6:E53">
    <cfRule type="expression" dxfId="49" priority="2">
      <formula>MONTH($C6)&lt;&gt;MONTH($M$2)</formula>
    </cfRule>
  </conditionalFormatting>
  <conditionalFormatting sqref="D6:D53">
    <cfRule type="expression" dxfId="48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7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9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0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1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2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3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4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4541F9-A5FA-4111-878D-2DBCAB3A4AEF}">
          <x14:formula1>
            <xm:f>Feuil1!$A$1:$A$19</xm:f>
          </x14:formula1>
          <xm:sqref>D4:E4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B4C11-BD8B-4C7F-A831-FC30417601D9}">
  <sheetPr codeName="Feuil6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328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45962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45597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45957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45593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45957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45594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45958</v>
      </c>
      <c r="D7" s="27">
        <f>IFERROR(INDEX(Données!F:F,MATCH($D$4&amp;"|"&amp;TEXT(B7,"aaaa-mm-jj"),Données!A:A,0)),0)</f>
        <v>662</v>
      </c>
      <c r="E7" s="68">
        <f>IFERROR(INDEX(Données!F:F,MATCH($E$4&amp;"|"&amp;TEXT(C7,"aaaa-mm-jj"),Données!A:A,0)),"")</f>
        <v>809</v>
      </c>
      <c r="F7" s="3">
        <f t="shared" si="0"/>
        <v>147</v>
      </c>
      <c r="G7" s="4">
        <f t="shared" si="1"/>
        <v>0.22205438066465258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45595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45959</v>
      </c>
      <c r="D8" s="27">
        <f>IFERROR(INDEX(Données!F:F,MATCH($D$4&amp;"|"&amp;TEXT(B8,"aaaa-mm-jj"),Données!A:A,0)),0)</f>
        <v>514</v>
      </c>
      <c r="E8" s="68">
        <f>IFERROR(INDEX(Données!F:F,MATCH($E$4&amp;"|"&amp;TEXT(C8,"aaaa-mm-jj"),Données!A:A,0)),"")</f>
        <v>1058</v>
      </c>
      <c r="F8" s="3">
        <f t="shared" si="0"/>
        <v>544</v>
      </c>
      <c r="G8" s="4">
        <f t="shared" si="1"/>
        <v>1.0583657587548638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45596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45960</v>
      </c>
      <c r="D9" s="27">
        <f>IFERROR(INDEX(Données!F:F,MATCH($D$4&amp;"|"&amp;TEXT(B9,"aaaa-mm-jj"),Données!A:A,0)),0)</f>
        <v>411</v>
      </c>
      <c r="E9" s="68">
        <f>IFERROR(INDEX(Données!F:F,MATCH($E$4&amp;"|"&amp;TEXT(C9,"aaaa-mm-jj"),Données!A:A,0)),"")</f>
        <v>745</v>
      </c>
      <c r="F9" s="3">
        <f t="shared" si="0"/>
        <v>334</v>
      </c>
      <c r="G9" s="4">
        <f t="shared" si="1"/>
        <v>0.81265206812652069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45597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45961</v>
      </c>
      <c r="D10" s="27">
        <f>IFERROR(INDEX(Données!F:F,MATCH($D$4&amp;"|"&amp;TEXT(B10,"aaaa-mm-jj"),Données!A:A,0)),0)</f>
        <v>0</v>
      </c>
      <c r="E10" s="68">
        <f>IFERROR(INDEX(Données!F:F,MATCH($E$4&amp;"|"&amp;TEXT(C10,"aaaa-mm-jj"),Données!A:A,0)),"")</f>
        <v>574</v>
      </c>
      <c r="F10" s="3">
        <f t="shared" si="0"/>
        <v>574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45598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45962</v>
      </c>
      <c r="D11" s="27">
        <f>IFERROR(INDEX(Données!F:F,MATCH($D$4&amp;"|"&amp;TEXT(B11,"aaaa-mm-jj"),Données!A:A,0)),0)</f>
        <v>577</v>
      </c>
      <c r="E11" s="68">
        <f>IFERROR(INDEX(Données!F:F,MATCH($E$4&amp;"|"&amp;TEXT(C11,"aaaa-mm-jj"),Données!A:A,0)),"")</f>
        <v>0</v>
      </c>
      <c r="F11" s="3">
        <f t="shared" si="0"/>
        <v>-577</v>
      </c>
      <c r="G11" s="4">
        <f t="shared" si="1"/>
        <v>-1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45599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45963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45600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45964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45601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45965</v>
      </c>
      <c r="D14" s="27">
        <f>IFERROR(INDEX(Données!F:F,MATCH($D$4&amp;"|"&amp;TEXT(B14,"aaaa-mm-jj"),Données!A:A,0)),0)</f>
        <v>897</v>
      </c>
      <c r="E14" s="68">
        <f>IFERROR(INDEX(Données!F:F,MATCH($E$4&amp;"|"&amp;TEXT(C14,"aaaa-mm-jj"),Données!A:A,0)),"")</f>
        <v>699</v>
      </c>
      <c r="F14" s="3">
        <f t="shared" si="0"/>
        <v>-198</v>
      </c>
      <c r="G14" s="4">
        <f t="shared" si="1"/>
        <v>-0.22073578595317725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45602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45966</v>
      </c>
      <c r="D15" s="27">
        <f>IFERROR(INDEX(Données!F:F,MATCH($D$4&amp;"|"&amp;TEXT(B15,"aaaa-mm-jj"),Données!A:A,0)),0)</f>
        <v>689</v>
      </c>
      <c r="E15" s="68">
        <f>IFERROR(INDEX(Données!F:F,MATCH($E$4&amp;"|"&amp;TEXT(C15,"aaaa-mm-jj"),Données!A:A,0)),"")</f>
        <v>943.4</v>
      </c>
      <c r="F15" s="3">
        <f t="shared" si="0"/>
        <v>254.39999999999998</v>
      </c>
      <c r="G15" s="4">
        <f t="shared" si="1"/>
        <v>0.3692307692307692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45603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45967</v>
      </c>
      <c r="D16" s="27">
        <f>IFERROR(INDEX(Données!F:F,MATCH($D$4&amp;"|"&amp;TEXT(B16,"aaaa-mm-jj"),Données!A:A,0)),0)</f>
        <v>568</v>
      </c>
      <c r="E16" s="68">
        <f>IFERROR(INDEX(Données!F:F,MATCH($E$4&amp;"|"&amp;TEXT(C16,"aaaa-mm-jj"),Données!A:A,0)),"")</f>
        <v>521</v>
      </c>
      <c r="F16" s="3">
        <f t="shared" si="0"/>
        <v>-47</v>
      </c>
      <c r="G16" s="4">
        <f t="shared" si="1"/>
        <v>-8.2746478873239437E-2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45604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45968</v>
      </c>
      <c r="D17" s="27">
        <f>IFERROR(INDEX(Données!F:F,MATCH($D$4&amp;"|"&amp;TEXT(B17,"aaaa-mm-jj"),Données!A:A,0)),0)</f>
        <v>758</v>
      </c>
      <c r="E17" s="68">
        <f>IFERROR(INDEX(Données!F:F,MATCH($E$4&amp;"|"&amp;TEXT(C17,"aaaa-mm-jj"),Données!A:A,0)),"")</f>
        <v>981</v>
      </c>
      <c r="F17" s="3">
        <f t="shared" si="0"/>
        <v>223</v>
      </c>
      <c r="G17" s="4">
        <f t="shared" si="1"/>
        <v>0.29419525065963059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45605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45969</v>
      </c>
      <c r="D18" s="27">
        <f>IFERROR(INDEX(Données!F:F,MATCH($D$4&amp;"|"&amp;TEXT(B18,"aaaa-mm-jj"),Données!A:A,0)),0)</f>
        <v>413</v>
      </c>
      <c r="E18" s="68">
        <f>IFERROR(INDEX(Données!F:F,MATCH($E$4&amp;"|"&amp;TEXT(C18,"aaaa-mm-jj"),Données!A:A,0)),"")</f>
        <v>282</v>
      </c>
      <c r="F18" s="3">
        <f t="shared" si="0"/>
        <v>-131</v>
      </c>
      <c r="G18" s="4">
        <f t="shared" si="1"/>
        <v>-0.31719128329297819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45606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45970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45607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45971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45608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45972</v>
      </c>
      <c r="D21" s="27">
        <f>IFERROR(INDEX(Données!F:F,MATCH($D$4&amp;"|"&amp;TEXT(B21,"aaaa-mm-jj"),Données!A:A,0)),0)</f>
        <v>474</v>
      </c>
      <c r="E21" s="68">
        <f>IFERROR(INDEX(Données!F:F,MATCH($E$4&amp;"|"&amp;TEXT(C21,"aaaa-mm-jj"),Données!A:A,0)),"")</f>
        <v>0</v>
      </c>
      <c r="F21" s="3">
        <f t="shared" si="0"/>
        <v>-474</v>
      </c>
      <c r="G21" s="4">
        <f t="shared" si="1"/>
        <v>-1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45609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45973</v>
      </c>
      <c r="D22" s="27">
        <f>IFERROR(INDEX(Données!F:F,MATCH($D$4&amp;"|"&amp;TEXT(B22,"aaaa-mm-jj"),Données!A:A,0)),0)</f>
        <v>873</v>
      </c>
      <c r="E22" s="68">
        <f>IFERROR(INDEX(Données!F:F,MATCH($E$4&amp;"|"&amp;TEXT(C22,"aaaa-mm-jj"),Données!A:A,0)),"")</f>
        <v>511</v>
      </c>
      <c r="F22" s="3">
        <f t="shared" si="0"/>
        <v>-362</v>
      </c>
      <c r="G22" s="4">
        <f t="shared" si="1"/>
        <v>-0.41466208476517757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45610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45974</v>
      </c>
      <c r="D23" s="27">
        <f>IFERROR(INDEX(Données!F:F,MATCH($D$4&amp;"|"&amp;TEXT(B23,"aaaa-mm-jj"),Données!A:A,0)),0)</f>
        <v>524</v>
      </c>
      <c r="E23" s="68">
        <f>IFERROR(INDEX(Données!F:F,MATCH($E$4&amp;"|"&amp;TEXT(C23,"aaaa-mm-jj"),Données!A:A,0)),"")</f>
        <v>326</v>
      </c>
      <c r="F23" s="3">
        <f t="shared" si="0"/>
        <v>-198</v>
      </c>
      <c r="G23" s="4">
        <f t="shared" si="1"/>
        <v>-0.37786259541984735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45611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45975</v>
      </c>
      <c r="D24" s="27">
        <f>IFERROR(INDEX(Données!F:F,MATCH($D$4&amp;"|"&amp;TEXT(B24,"aaaa-mm-jj"),Données!A:A,0)),0)</f>
        <v>510</v>
      </c>
      <c r="E24" s="68">
        <f>IFERROR(INDEX(Données!F:F,MATCH($E$4&amp;"|"&amp;TEXT(C24,"aaaa-mm-jj"),Données!A:A,0)),"")</f>
        <v>773</v>
      </c>
      <c r="F24" s="3">
        <f t="shared" si="0"/>
        <v>263</v>
      </c>
      <c r="G24" s="4">
        <f t="shared" si="1"/>
        <v>0.51568627450980398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45612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45976</v>
      </c>
      <c r="D25" s="27">
        <f>IFERROR(INDEX(Données!F:F,MATCH($D$4&amp;"|"&amp;TEXT(B25,"aaaa-mm-jj"),Données!A:A,0)),0)</f>
        <v>227</v>
      </c>
      <c r="E25" s="68">
        <f>IFERROR(INDEX(Données!F:F,MATCH($E$4&amp;"|"&amp;TEXT(C25,"aaaa-mm-jj"),Données!A:A,0)),"")</f>
        <v>81</v>
      </c>
      <c r="F25" s="3">
        <f t="shared" si="0"/>
        <v>-146</v>
      </c>
      <c r="G25" s="4">
        <f t="shared" si="1"/>
        <v>-0.64317180616740088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45613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45977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45614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45978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45615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45979</v>
      </c>
      <c r="D28" s="27">
        <f>IFERROR(INDEX(Données!F:F,MATCH($D$4&amp;"|"&amp;TEXT(B28,"aaaa-mm-jj"),Données!A:A,0)),0)</f>
        <v>738</v>
      </c>
      <c r="E28" s="68">
        <f>IFERROR(INDEX(Données!F:F,MATCH($E$4&amp;"|"&amp;TEXT(C28,"aaaa-mm-jj"),Données!A:A,0)),"")</f>
        <v>722</v>
      </c>
      <c r="F28" s="3">
        <f t="shared" si="0"/>
        <v>-16</v>
      </c>
      <c r="G28" s="4">
        <f t="shared" si="1"/>
        <v>-2.1680216802168022E-2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45616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45980</v>
      </c>
      <c r="D29" s="27">
        <f>IFERROR(INDEX(Données!F:F,MATCH($D$4&amp;"|"&amp;TEXT(B29,"aaaa-mm-jj"),Données!A:A,0)),0)</f>
        <v>539</v>
      </c>
      <c r="E29" s="68">
        <f>IFERROR(INDEX(Données!F:F,MATCH($E$4&amp;"|"&amp;TEXT(C29,"aaaa-mm-jj"),Données!A:A,0)),"")</f>
        <v>690</v>
      </c>
      <c r="F29" s="3">
        <f t="shared" si="0"/>
        <v>151</v>
      </c>
      <c r="G29" s="4">
        <f t="shared" si="1"/>
        <v>0.28014842300556586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45617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45981</v>
      </c>
      <c r="D30" s="27">
        <f>IFERROR(INDEX(Données!F:F,MATCH($D$4&amp;"|"&amp;TEXT(B30,"aaaa-mm-jj"),Données!A:A,0)),0)</f>
        <v>427</v>
      </c>
      <c r="E30" s="68">
        <f>IFERROR(INDEX(Données!F:F,MATCH($E$4&amp;"|"&amp;TEXT(C30,"aaaa-mm-jj"),Données!A:A,0)),"")</f>
        <v>607</v>
      </c>
      <c r="F30" s="3">
        <f t="shared" si="0"/>
        <v>180</v>
      </c>
      <c r="G30" s="4">
        <f t="shared" si="1"/>
        <v>0.42154566744730682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45618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45982</v>
      </c>
      <c r="D31" s="27">
        <f>IFERROR(INDEX(Données!F:F,MATCH($D$4&amp;"|"&amp;TEXT(B31,"aaaa-mm-jj"),Données!A:A,0)),0)</f>
        <v>723</v>
      </c>
      <c r="E31" s="68">
        <f>IFERROR(INDEX(Données!F:F,MATCH($E$4&amp;"|"&amp;TEXT(C31,"aaaa-mm-jj"),Données!A:A,0)),"")</f>
        <v>685</v>
      </c>
      <c r="F31" s="3">
        <f t="shared" si="0"/>
        <v>-38</v>
      </c>
      <c r="G31" s="4">
        <f t="shared" si="1"/>
        <v>-5.2558782849239281E-2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45619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45983</v>
      </c>
      <c r="D32" s="27">
        <f>IFERROR(INDEX(Données!F:F,MATCH($D$4&amp;"|"&amp;TEXT(B32,"aaaa-mm-jj"),Données!A:A,0)),0)</f>
        <v>373</v>
      </c>
      <c r="E32" s="68">
        <f>IFERROR(INDEX(Données!F:F,MATCH($E$4&amp;"|"&amp;TEXT(C32,"aaaa-mm-jj"),Données!A:A,0)),"")</f>
        <v>215</v>
      </c>
      <c r="F32" s="3">
        <f t="shared" si="0"/>
        <v>-158</v>
      </c>
      <c r="G32" s="4">
        <f t="shared" si="1"/>
        <v>-0.42359249329758714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45620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45984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45621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45985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45622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45986</v>
      </c>
      <c r="D35" s="27">
        <f>IFERROR(INDEX(Données!F:F,MATCH($D$4&amp;"|"&amp;TEXT(B35,"aaaa-mm-jj"),Données!A:A,0)),0)</f>
        <v>374</v>
      </c>
      <c r="E35" s="68">
        <f>IFERROR(INDEX(Données!F:F,MATCH($E$4&amp;"|"&amp;TEXT(C35,"aaaa-mm-jj"),Données!A:A,0)),"")</f>
        <v>911</v>
      </c>
      <c r="F35" s="3">
        <f t="shared" si="0"/>
        <v>537</v>
      </c>
      <c r="G35" s="4">
        <f t="shared" si="1"/>
        <v>1.4358288770053476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45623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45987</v>
      </c>
      <c r="D36" s="27">
        <f>IFERROR(INDEX(Données!F:F,MATCH($D$4&amp;"|"&amp;TEXT(B36,"aaaa-mm-jj"),Données!A:A,0)),0)</f>
        <v>525</v>
      </c>
      <c r="E36" s="68">
        <f>IFERROR(INDEX(Données!F:F,MATCH($E$4&amp;"|"&amp;TEXT(C36,"aaaa-mm-jj"),Données!A:A,0)),"")</f>
        <v>457</v>
      </c>
      <c r="F36" s="3">
        <f t="shared" si="0"/>
        <v>-68</v>
      </c>
      <c r="G36" s="4">
        <f t="shared" si="1"/>
        <v>-0.12952380952380951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45624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45988</v>
      </c>
      <c r="D37" s="27">
        <f>IFERROR(INDEX(Données!F:F,MATCH($D$4&amp;"|"&amp;TEXT(B37,"aaaa-mm-jj"),Données!A:A,0)),0)</f>
        <v>382</v>
      </c>
      <c r="E37" s="68">
        <f>IFERROR(INDEX(Données!F:F,MATCH($E$4&amp;"|"&amp;TEXT(C37,"aaaa-mm-jj"),Données!A:A,0)),"")</f>
        <v>751</v>
      </c>
      <c r="F37" s="3">
        <f t="shared" si="0"/>
        <v>369</v>
      </c>
      <c r="G37" s="4">
        <f t="shared" si="1"/>
        <v>0.96596858638743455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45625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45989</v>
      </c>
      <c r="D38" s="27">
        <f>IFERROR(INDEX(Données!F:F,MATCH($D$4&amp;"|"&amp;TEXT(B38,"aaaa-mm-jj"),Données!A:A,0)),0)</f>
        <v>803</v>
      </c>
      <c r="E38" s="68">
        <f>IFERROR(INDEX(Données!F:F,MATCH($E$4&amp;"|"&amp;TEXT(C38,"aaaa-mm-jj"),Données!A:A,0)),"")</f>
        <v>401</v>
      </c>
      <c r="F38" s="3">
        <f t="shared" si="0"/>
        <v>-402</v>
      </c>
      <c r="G38" s="4">
        <f t="shared" si="1"/>
        <v>-0.50062266500622665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45626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45990</v>
      </c>
      <c r="D39" s="27">
        <f>IFERROR(INDEX(Données!F:F,MATCH($D$4&amp;"|"&amp;TEXT(B39,"aaaa-mm-jj"),Données!A:A,0)),0)</f>
        <v>336</v>
      </c>
      <c r="E39" s="68">
        <f>IFERROR(INDEX(Données!F:F,MATCH($E$4&amp;"|"&amp;TEXT(C39,"aaaa-mm-jj"),Données!A:A,0)),"")</f>
        <v>100</v>
      </c>
      <c r="F39" s="3">
        <f t="shared" si="0"/>
        <v>-236</v>
      </c>
      <c r="G39" s="4">
        <f t="shared" si="1"/>
        <v>-0.70238095238095233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45627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45991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45628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45992</v>
      </c>
      <c r="D41" s="27">
        <f>IFERROR(INDEX(Données!F:F,MATCH($D$4&amp;"|"&amp;TEXT(B41,"aaaa-mm-jj"),Données!A:A,0)),0)</f>
        <v>0</v>
      </c>
      <c r="E41" s="68" t="str">
        <f>IFERROR(INDEX(Données!F:F,MATCH($E$4&amp;"|"&amp;TEXT(C41,"aaaa-mm-jj"),Données!A:A,0)),"")</f>
        <v/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45629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45993</v>
      </c>
      <c r="D42" s="27">
        <f>IFERROR(INDEX(Données!F:F,MATCH($D$4&amp;"|"&amp;TEXT(B42,"aaaa-mm-jj"),Données!A:A,0)),0)</f>
        <v>669</v>
      </c>
      <c r="E42" s="68">
        <f>IFERROR(INDEX(Données!F:F,MATCH($E$4&amp;"|"&amp;TEXT(C42,"aaaa-mm-jj"),Données!A:A,0)),"")</f>
        <v>614</v>
      </c>
      <c r="F42" s="3">
        <f t="shared" si="0"/>
        <v>-55</v>
      </c>
      <c r="G42" s="4">
        <f t="shared" si="1"/>
        <v>-8.2212257100149483E-2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45630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45994</v>
      </c>
      <c r="D43" s="27">
        <f>IFERROR(INDEX(Données!F:F,MATCH($D$4&amp;"|"&amp;TEXT(B43,"aaaa-mm-jj"),Données!A:A,0)),0)</f>
        <v>547</v>
      </c>
      <c r="E43" s="68">
        <f>IFERROR(INDEX(Données!F:F,MATCH($E$4&amp;"|"&amp;TEXT(C43,"aaaa-mm-jj"),Données!A:A,0)),"")</f>
        <v>712</v>
      </c>
      <c r="F43" s="3">
        <f t="shared" si="0"/>
        <v>165</v>
      </c>
      <c r="G43" s="4">
        <f t="shared" si="1"/>
        <v>0.3016453382084095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45996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45997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45998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45999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46000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46001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46002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46003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46004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46005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11730</v>
      </c>
      <c r="E54" s="28">
        <f>SUMIFS(E:E, C:C, "&gt;="&amp;DATE(YEAR($M$2),MONTH($M$2),1), C:C, "&lt;"&amp;DATE(YEAR($M$2),MONTH($M$2)+1,1))</f>
        <v>10656.4</v>
      </c>
      <c r="F54" s="29">
        <f>E54 - D54</f>
        <v>-1073.6000000000004</v>
      </c>
      <c r="G54" s="30">
        <f>IFERROR((E54-D54)/D54,0)</f>
        <v>-9.1526001705029864E-2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octobre!D56 + D54</f>
        <v>57916.6</v>
      </c>
      <c r="E56" s="5">
        <f>octobre!E56 + E54</f>
        <v>64636.800000000003</v>
      </c>
      <c r="F56" s="6">
        <f>E56-D56</f>
        <v>6720.2000000000044</v>
      </c>
      <c r="G56" s="7">
        <f>IFERROR((E56-D56)/D56,0)</f>
        <v>0.11603236377826054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47" priority="5">
      <formula>$A5="lundi"</formula>
    </cfRule>
    <cfRule type="expression" dxfId="46" priority="6">
      <formula>$A5="dimanche"</formula>
    </cfRule>
  </conditionalFormatting>
  <conditionalFormatting sqref="C6:C53">
    <cfRule type="expression" dxfId="45" priority="4">
      <formula>MONTH($C6)&lt;&gt;MONTH($M$2)</formula>
    </cfRule>
  </conditionalFormatting>
  <conditionalFormatting sqref="B6:B53">
    <cfRule type="expression" dxfId="44" priority="3">
      <formula>MONTH($B6)&lt;&gt;MONTH($M$3)</formula>
    </cfRule>
  </conditionalFormatting>
  <conditionalFormatting sqref="E6:E53">
    <cfRule type="expression" dxfId="43" priority="2">
      <formula>MONTH($C6)&lt;&gt;MONTH($M$2)</formula>
    </cfRule>
  </conditionalFormatting>
  <conditionalFormatting sqref="D6:D53">
    <cfRule type="expression" dxfId="42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0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1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2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3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4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5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6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7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8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BAE26E3-6B25-4ED2-98A9-B500B5C9DFAB}">
          <x14:formula1>
            <xm:f>Feuil1!$A$1:$A$19</xm:f>
          </x14:formula1>
          <xm:sqref>D4:E4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700A8-3247-44BF-8BB9-3FE78C1B59EF}">
  <sheetPr codeName="Feuil7"/>
  <dimension ref="A1:O1228"/>
  <sheetViews>
    <sheetView showGridLines="0" tabSelected="1" topLeftCell="A25" workbookViewId="0">
      <selection activeCell="E32" sqref="E32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358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45992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45627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45992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45621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45992</v>
      </c>
      <c r="D6" s="27">
        <f>IFERROR(INDEX(Données!F:F,MATCH($D$4&amp;"|"&amp;TEXT(B6,"aaaa-mm-jj"),Données!A:A,0)),0)</f>
        <v>0</v>
      </c>
      <c r="E6" s="68" t="str">
        <f>IFERROR(INDEX(Données!F:F,MATCH($E$4&amp;"|"&amp;TEXT(C6,"aaaa-mm-jj"),Données!A:A,0)),"")</f>
        <v/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45622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45993</v>
      </c>
      <c r="D7" s="27">
        <f>IFERROR(INDEX(Données!F:F,MATCH($D$4&amp;"|"&amp;TEXT(B7,"aaaa-mm-jj"),Données!A:A,0)),0)</f>
        <v>374</v>
      </c>
      <c r="E7" s="68">
        <f>IFERROR(INDEX(Données!F:F,MATCH($E$4&amp;"|"&amp;TEXT(C7,"aaaa-mm-jj"),Données!A:A,0)),"")</f>
        <v>614</v>
      </c>
      <c r="F7" s="3">
        <f t="shared" si="0"/>
        <v>240</v>
      </c>
      <c r="G7" s="4">
        <f t="shared" si="1"/>
        <v>0.64171122994652408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45623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45994</v>
      </c>
      <c r="D8" s="27">
        <f>IFERROR(INDEX(Données!F:F,MATCH($D$4&amp;"|"&amp;TEXT(B8,"aaaa-mm-jj"),Données!A:A,0)),0)</f>
        <v>525</v>
      </c>
      <c r="E8" s="68">
        <f>IFERROR(INDEX(Données!F:F,MATCH($E$4&amp;"|"&amp;TEXT(C8,"aaaa-mm-jj"),Données!A:A,0)),"")</f>
        <v>712</v>
      </c>
      <c r="F8" s="3">
        <f t="shared" si="0"/>
        <v>187</v>
      </c>
      <c r="G8" s="4">
        <f t="shared" si="1"/>
        <v>0.35619047619047617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45624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45995</v>
      </c>
      <c r="D9" s="27">
        <f>IFERROR(INDEX(Données!F:F,MATCH($D$4&amp;"|"&amp;TEXT(B9,"aaaa-mm-jj"),Données!A:A,0)),0)</f>
        <v>382</v>
      </c>
      <c r="E9" s="68">
        <f>IFERROR(INDEX(Données!F:F,MATCH($E$4&amp;"|"&amp;TEXT(C9,"aaaa-mm-jj"),Données!A:A,0)),"")</f>
        <v>632</v>
      </c>
      <c r="F9" s="3">
        <f t="shared" si="0"/>
        <v>250</v>
      </c>
      <c r="G9" s="4">
        <f t="shared" si="1"/>
        <v>0.65445026178010468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45625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45996</v>
      </c>
      <c r="D10" s="27">
        <f>IFERROR(INDEX(Données!F:F,MATCH($D$4&amp;"|"&amp;TEXT(B10,"aaaa-mm-jj"),Données!A:A,0)),0)</f>
        <v>803</v>
      </c>
      <c r="E10" s="68">
        <f>IFERROR(INDEX(Données!F:F,MATCH($E$4&amp;"|"&amp;TEXT(C10,"aaaa-mm-jj"),Données!A:A,0)),"")</f>
        <v>714</v>
      </c>
      <c r="F10" s="3">
        <f t="shared" si="0"/>
        <v>-89</v>
      </c>
      <c r="G10" s="4">
        <f t="shared" si="1"/>
        <v>-0.11083437110834371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45626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45997</v>
      </c>
      <c r="D11" s="27">
        <f>IFERROR(INDEX(Données!F:F,MATCH($D$4&amp;"|"&amp;TEXT(B11,"aaaa-mm-jj"),Données!A:A,0)),0)</f>
        <v>336</v>
      </c>
      <c r="E11" s="68">
        <f>IFERROR(INDEX(Données!F:F,MATCH($E$4&amp;"|"&amp;TEXT(C11,"aaaa-mm-jj"),Données!A:A,0)),"")</f>
        <v>346</v>
      </c>
      <c r="F11" s="3">
        <f t="shared" si="0"/>
        <v>10</v>
      </c>
      <c r="G11" s="4">
        <f t="shared" si="1"/>
        <v>2.976190476190476E-2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45627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45998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45628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45999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45629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46000</v>
      </c>
      <c r="D14" s="27">
        <f>IFERROR(INDEX(Données!F:F,MATCH($D$4&amp;"|"&amp;TEXT(B14,"aaaa-mm-jj"),Données!A:A,0)),0)</f>
        <v>669</v>
      </c>
      <c r="E14" s="68">
        <f>IFERROR(INDEX(Données!F:F,MATCH($E$4&amp;"|"&amp;TEXT(C14,"aaaa-mm-jj"),Données!A:A,0)),"")</f>
        <v>579</v>
      </c>
      <c r="F14" s="3">
        <f t="shared" si="0"/>
        <v>-90</v>
      </c>
      <c r="G14" s="4">
        <f t="shared" si="1"/>
        <v>-0.13452914798206278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45630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46001</v>
      </c>
      <c r="D15" s="27">
        <f>IFERROR(INDEX(Données!F:F,MATCH($D$4&amp;"|"&amp;TEXT(B15,"aaaa-mm-jj"),Données!A:A,0)),0)</f>
        <v>547</v>
      </c>
      <c r="E15" s="68">
        <f>IFERROR(INDEX(Données!F:F,MATCH($E$4&amp;"|"&amp;TEXT(C15,"aaaa-mm-jj"),Données!A:A,0)),"")</f>
        <v>906</v>
      </c>
      <c r="F15" s="3">
        <f t="shared" si="0"/>
        <v>359</v>
      </c>
      <c r="G15" s="4">
        <f t="shared" si="1"/>
        <v>0.65630712979890315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45631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46002</v>
      </c>
      <c r="D16" s="27">
        <f>IFERROR(INDEX(Données!F:F,MATCH($D$4&amp;"|"&amp;TEXT(B16,"aaaa-mm-jj"),Données!A:A,0)),0)</f>
        <v>632</v>
      </c>
      <c r="E16" s="68">
        <f>IFERROR(INDEX(Données!F:F,MATCH($E$4&amp;"|"&amp;TEXT(C16,"aaaa-mm-jj"),Données!A:A,0)),"")</f>
        <v>833</v>
      </c>
      <c r="F16" s="3">
        <f t="shared" si="0"/>
        <v>201</v>
      </c>
      <c r="G16" s="4">
        <f t="shared" si="1"/>
        <v>0.31803797468354428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45632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46003</v>
      </c>
      <c r="D17" s="27">
        <f>IFERROR(INDEX(Données!F:F,MATCH($D$4&amp;"|"&amp;TEXT(B17,"aaaa-mm-jj"),Données!A:A,0)),0)</f>
        <v>741</v>
      </c>
      <c r="E17" s="68">
        <f>IFERROR(INDEX(Données!F:F,MATCH($E$4&amp;"|"&amp;TEXT(C17,"aaaa-mm-jj"),Données!A:A,0)),"")</f>
        <v>1406</v>
      </c>
      <c r="F17" s="3">
        <f t="shared" si="0"/>
        <v>665</v>
      </c>
      <c r="G17" s="4">
        <f t="shared" si="1"/>
        <v>0.89743589743589747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45633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46004</v>
      </c>
      <c r="D18" s="27">
        <f>IFERROR(INDEX(Données!F:F,MATCH($D$4&amp;"|"&amp;TEXT(B18,"aaaa-mm-jj"),Données!A:A,0)),0)</f>
        <v>358</v>
      </c>
      <c r="E18" s="68">
        <f>IFERROR(INDEX(Données!F:F,MATCH($E$4&amp;"|"&amp;TEXT(C18,"aaaa-mm-jj"),Données!A:A,0)),"")</f>
        <v>260</v>
      </c>
      <c r="F18" s="3">
        <f t="shared" si="0"/>
        <v>-98</v>
      </c>
      <c r="G18" s="4">
        <f t="shared" si="1"/>
        <v>-0.27374301675977653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45634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46005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45635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46006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45636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46007</v>
      </c>
      <c r="D21" s="27">
        <f>IFERROR(INDEX(Données!F:F,MATCH($D$4&amp;"|"&amp;TEXT(B21,"aaaa-mm-jj"),Données!A:A,0)),0)</f>
        <v>587</v>
      </c>
      <c r="E21" s="68">
        <f>IFERROR(INDEX(Données!F:F,MATCH($E$4&amp;"|"&amp;TEXT(C21,"aaaa-mm-jj"),Données!A:A,0)),"")</f>
        <v>785.5</v>
      </c>
      <c r="F21" s="3">
        <f t="shared" si="0"/>
        <v>198.5</v>
      </c>
      <c r="G21" s="4">
        <f t="shared" si="1"/>
        <v>0.33816013628620101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45637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46008</v>
      </c>
      <c r="D22" s="27">
        <f>IFERROR(INDEX(Données!F:F,MATCH($D$4&amp;"|"&amp;TEXT(B22,"aaaa-mm-jj"),Données!A:A,0)),0)</f>
        <v>924.5</v>
      </c>
      <c r="E22" s="68">
        <f>IFERROR(INDEX(Données!F:F,MATCH($E$4&amp;"|"&amp;TEXT(C22,"aaaa-mm-jj"),Données!A:A,0)),"")</f>
        <v>801</v>
      </c>
      <c r="F22" s="3">
        <f t="shared" si="0"/>
        <v>-123.5</v>
      </c>
      <c r="G22" s="4">
        <f t="shared" si="1"/>
        <v>-0.13358572201189833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45638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46009</v>
      </c>
      <c r="D23" s="27">
        <f>IFERROR(INDEX(Données!F:F,MATCH($D$4&amp;"|"&amp;TEXT(B23,"aaaa-mm-jj"),Données!A:A,0)),0)</f>
        <v>609</v>
      </c>
      <c r="E23" s="68">
        <f>IFERROR(INDEX(Données!F:F,MATCH($E$4&amp;"|"&amp;TEXT(C23,"aaaa-mm-jj"),Données!A:A,0)),"")</f>
        <v>907</v>
      </c>
      <c r="F23" s="3">
        <f t="shared" si="0"/>
        <v>298</v>
      </c>
      <c r="G23" s="4">
        <f t="shared" si="1"/>
        <v>0.48932676518883417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45639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46010</v>
      </c>
      <c r="D24" s="27">
        <f>IFERROR(INDEX(Données!F:F,MATCH($D$4&amp;"|"&amp;TEXT(B24,"aaaa-mm-jj"),Données!A:A,0)),0)</f>
        <v>887</v>
      </c>
      <c r="E24" s="68">
        <f>IFERROR(INDEX(Données!F:F,MATCH($E$4&amp;"|"&amp;TEXT(C24,"aaaa-mm-jj"),Données!A:A,0)),"")</f>
        <v>708</v>
      </c>
      <c r="F24" s="3">
        <f t="shared" si="0"/>
        <v>-179</v>
      </c>
      <c r="G24" s="4">
        <f t="shared" si="1"/>
        <v>-0.20180383314543404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45640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46011</v>
      </c>
      <c r="D25" s="27">
        <f>IFERROR(INDEX(Données!F:F,MATCH($D$4&amp;"|"&amp;TEXT(B25,"aaaa-mm-jj"),Données!A:A,0)),0)</f>
        <v>329</v>
      </c>
      <c r="E25" s="68">
        <f>IFERROR(INDEX(Données!F:F,MATCH($E$4&amp;"|"&amp;TEXT(C25,"aaaa-mm-jj"),Données!A:A,0)),"")</f>
        <v>324</v>
      </c>
      <c r="F25" s="3">
        <f t="shared" si="0"/>
        <v>-5</v>
      </c>
      <c r="G25" s="4">
        <f t="shared" si="1"/>
        <v>-1.5197568389057751E-2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45641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46012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45642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46013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910</v>
      </c>
      <c r="F27" s="3">
        <f t="shared" si="0"/>
        <v>910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45643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46014</v>
      </c>
      <c r="D28" s="27">
        <f>IFERROR(INDEX(Données!F:F,MATCH($D$4&amp;"|"&amp;TEXT(B28,"aaaa-mm-jj"),Données!A:A,0)),0)</f>
        <v>1197</v>
      </c>
      <c r="E28" s="68">
        <f>IFERROR(INDEX(Données!F:F,MATCH($E$4&amp;"|"&amp;TEXT(C28,"aaaa-mm-jj"),Données!A:A,0)),0)</f>
        <v>1049</v>
      </c>
      <c r="F28" s="3">
        <f t="shared" si="0"/>
        <v>-148</v>
      </c>
      <c r="G28" s="4">
        <f t="shared" si="1"/>
        <v>-0.12364243943191311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45644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46015</v>
      </c>
      <c r="D29" s="27">
        <f>IFERROR(INDEX(Données!F:F,MATCH($D$4&amp;"|"&amp;TEXT(B29,"aaaa-mm-jj"),Données!A:A,0)),0)</f>
        <v>841</v>
      </c>
      <c r="E29" s="68">
        <f>IFERROR(INDEX(Données!F:F,MATCH($E$4&amp;"|"&amp;TEXT(C29,"aaaa-mm-jj"),Données!A:A,0)),0)</f>
        <v>552.4</v>
      </c>
      <c r="F29" s="3">
        <f t="shared" si="0"/>
        <v>-288.60000000000002</v>
      </c>
      <c r="G29" s="4">
        <f t="shared" si="1"/>
        <v>-0.34316290130796673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45645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46016</v>
      </c>
      <c r="D30" s="27">
        <f>IFERROR(INDEX(Données!F:F,MATCH($D$4&amp;"|"&amp;TEXT(B30,"aaaa-mm-jj"),Données!A:A,0)),0)</f>
        <v>1003</v>
      </c>
      <c r="E30" s="68">
        <f>IFERROR(INDEX(Données!F:F,MATCH($E$4&amp;"|"&amp;TEXT(C30,"aaaa-mm-jj"),Données!A:A,0)),"")</f>
        <v>0</v>
      </c>
      <c r="F30" s="3">
        <f t="shared" si="0"/>
        <v>-1003</v>
      </c>
      <c r="G30" s="4">
        <f t="shared" si="1"/>
        <v>-1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45646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46017</v>
      </c>
      <c r="D31" s="27">
        <f>IFERROR(INDEX(Données!F:F,MATCH($D$4&amp;"|"&amp;TEXT(B31,"aaaa-mm-jj"),Données!A:A,0)),0)</f>
        <v>1212</v>
      </c>
      <c r="E31" s="68">
        <f>IFERROR(INDEX(Données!F:F,MATCH($E$4&amp;"|"&amp;TEXT(C31,"aaaa-mm-jj"),Données!A:A,0)),0)</f>
        <v>600</v>
      </c>
      <c r="F31" s="3">
        <f t="shared" si="0"/>
        <v>-612</v>
      </c>
      <c r="G31" s="4">
        <f t="shared" si="1"/>
        <v>-0.50495049504950495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45647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46018</v>
      </c>
      <c r="D32" s="27">
        <f>IFERROR(INDEX(Données!F:F,MATCH($D$4&amp;"|"&amp;TEXT(B32,"aaaa-mm-jj"),Données!A:A,0)),0)</f>
        <v>642</v>
      </c>
      <c r="E32" s="68" t="str">
        <f>IFERROR(INDEX(Données!F:F,MATCH($E$4&amp;"|"&amp;TEXT(C32,"aaaa-mm-jj"),Données!A:A,0)),"")</f>
        <v/>
      </c>
      <c r="F32" s="3">
        <f t="shared" si="0"/>
        <v>0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45648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46019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45649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46020</v>
      </c>
      <c r="D34" s="27">
        <f>IFERROR(INDEX(Données!F:F,MATCH($D$4&amp;"|"&amp;TEXT(B34,"aaaa-mm-jj"),Données!A:A,0)),0)</f>
        <v>0</v>
      </c>
      <c r="E34" s="68" t="str">
        <f>IFERROR(INDEX(Données!F:F,MATCH($E$4&amp;"|"&amp;TEXT(C34,"aaaa-mm-jj"),Données!A:A,0)),"")</f>
        <v/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45650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46021</v>
      </c>
      <c r="D35" s="27">
        <f>IFERROR(INDEX(Données!F:F,MATCH($D$4&amp;"|"&amp;TEXT(B35,"aaaa-mm-jj"),Données!A:A,0)),0)</f>
        <v>1339.9</v>
      </c>
      <c r="E35" s="68" t="str">
        <f>IFERROR(INDEX(Données!F:F,MATCH($E$4&amp;"|"&amp;TEXT(C35,"aaaa-mm-jj"),Données!A:A,0)),"")</f>
        <v/>
      </c>
      <c r="F35" s="3">
        <f t="shared" si="0"/>
        <v>0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45651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46022</v>
      </c>
      <c r="D36" s="27">
        <f>IFERROR(INDEX(Données!F:F,MATCH($D$4&amp;"|"&amp;TEXT(B36,"aaaa-mm-jj"),Données!A:A,0)),0)</f>
        <v>0</v>
      </c>
      <c r="E36" s="68" t="str">
        <f>IFERROR(INDEX(Données!F:F,MATCH($E$4&amp;"|"&amp;TEXT(C36,"aaaa-mm-jj"),Données!A:A,0)),"")</f>
        <v/>
      </c>
      <c r="F36" s="3">
        <f t="shared" si="0"/>
        <v>0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45652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46023</v>
      </c>
      <c r="D37" s="27">
        <f>IFERROR(INDEX(Données!F:F,MATCH($D$4&amp;"|"&amp;TEXT(B37,"aaaa-mm-jj"),Données!A:A,0)),0)</f>
        <v>769</v>
      </c>
      <c r="E37" s="68" t="str">
        <f>IFERROR(INDEX(Données!F:F,MATCH($E$4&amp;"|"&amp;TEXT(C37,"aaaa-mm-jj"),Données!A:A,0)),"")</f>
        <v/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45653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46024</v>
      </c>
      <c r="D38" s="27">
        <f>IFERROR(INDEX(Données!F:F,MATCH($D$4&amp;"|"&amp;TEXT(B38,"aaaa-mm-jj"),Données!A:A,0)),0)</f>
        <v>605</v>
      </c>
      <c r="E38" s="68" t="str">
        <f>IFERROR(INDEX(Données!F:F,MATCH($E$4&amp;"|"&amp;TEXT(C38,"aaaa-mm-jj"),Données!A:A,0)),"")</f>
        <v/>
      </c>
      <c r="F38" s="3">
        <f t="shared" si="0"/>
        <v>0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45654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46025</v>
      </c>
      <c r="D39" s="27">
        <f>IFERROR(INDEX(Données!F:F,MATCH($D$4&amp;"|"&amp;TEXT(B39,"aaaa-mm-jj"),Données!A:A,0)),0)</f>
        <v>578</v>
      </c>
      <c r="E39" s="68" t="str">
        <f>IFERROR(INDEX(Données!F:F,MATCH($E$4&amp;"|"&amp;TEXT(C39,"aaaa-mm-jj"),Données!A:A,0)),"")</f>
        <v/>
      </c>
      <c r="F39" s="3">
        <f t="shared" si="0"/>
        <v>0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45655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46026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45656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46027</v>
      </c>
      <c r="D41" s="27">
        <f>IFERROR(INDEX(Données!F:F,MATCH($D$4&amp;"|"&amp;TEXT(B41,"aaaa-mm-jj"),Données!A:A,0)),0)</f>
        <v>0</v>
      </c>
      <c r="E41" s="68" t="str">
        <f>IFERROR(INDEX(Données!F:F,MATCH($E$4&amp;"|"&amp;TEXT(C41,"aaaa-mm-jj"),Données!A:A,0)),"")</f>
        <v/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45657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46028</v>
      </c>
      <c r="D42" s="27">
        <f>IFERROR(INDEX(Données!F:F,MATCH($D$4&amp;"|"&amp;TEXT(B42,"aaaa-mm-jj"),Données!A:A,0)),0)</f>
        <v>802</v>
      </c>
      <c r="E42" s="68" t="str">
        <f>IFERROR(INDEX(Données!F:F,MATCH($E$4&amp;"|"&amp;TEXT(C42,"aaaa-mm-jj"),Données!A:A,0)),"")</f>
        <v/>
      </c>
      <c r="F42" s="3">
        <f t="shared" si="0"/>
        <v>0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45658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46029</v>
      </c>
      <c r="D43" s="27">
        <f>IFERROR(INDEX(Données!F:F,MATCH($D$4&amp;"|"&amp;TEXT(B43,"aaaa-mm-jj"),Données!A:A,0)),0)</f>
        <v>0</v>
      </c>
      <c r="E43" s="68" t="str">
        <f>IFERROR(INDEX(Données!F:F,MATCH($E$4&amp;"|"&amp;TEXT(C43,"aaaa-mm-jj"),Données!A:A,0)),"")</f>
        <v/>
      </c>
      <c r="F43" s="3">
        <f t="shared" si="0"/>
        <v>0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46031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46032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46033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46034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46035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46036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46037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46038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46039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46040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15272.4</v>
      </c>
      <c r="E54" s="28">
        <f>SUMIFS(E:E, C:C, "&gt;="&amp;DATE(YEAR($M$2),MONTH($M$2),1), C:C, "&lt;"&amp;DATE(YEAR($M$2),MONTH($M$2)+1,1))</f>
        <v>13638.9</v>
      </c>
      <c r="F54" s="29">
        <f>E54 - D54</f>
        <v>-1633.5</v>
      </c>
      <c r="G54" s="30">
        <f>IFERROR((E54-D54)/D54,0)</f>
        <v>-0.10695764909248055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novembre!D56 + D54</f>
        <v>73189</v>
      </c>
      <c r="E56" s="5">
        <f>novembre!E56 + E54</f>
        <v>78275.7</v>
      </c>
      <c r="F56" s="6">
        <f>E56-D56</f>
        <v>5086.6999999999971</v>
      </c>
      <c r="G56" s="7">
        <f>IFERROR((E56-D56)/D56,0)</f>
        <v>6.9500881279973725E-2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41" priority="5">
      <formula>$A5="lundi"</formula>
    </cfRule>
    <cfRule type="expression" dxfId="40" priority="6">
      <formula>$A5="dimanche"</formula>
    </cfRule>
  </conditionalFormatting>
  <conditionalFormatting sqref="C6:C53">
    <cfRule type="expression" dxfId="39" priority="4">
      <formula>MONTH($C6)&lt;&gt;MONTH($M$2)</formula>
    </cfRule>
  </conditionalFormatting>
  <conditionalFormatting sqref="B6:B53">
    <cfRule type="expression" dxfId="38" priority="3">
      <formula>MONTH($B6)&lt;&gt;MONTH($M$3)</formula>
    </cfRule>
  </conditionalFormatting>
  <conditionalFormatting sqref="E6:E53">
    <cfRule type="expression" dxfId="37" priority="2">
      <formula>MONTH($C6)&lt;&gt;MONTH($M$2)</formula>
    </cfRule>
  </conditionalFormatting>
  <conditionalFormatting sqref="D6:D53">
    <cfRule type="expression" dxfId="36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15FF84-E450-46FB-9580-642EE25E6AC4}">
          <x14:formula1>
            <xm:f>Feuil1!$A$1:$A$19</xm:f>
          </x14:formula1>
          <xm:sqref>D4:E4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87EFD-7EBA-4938-AFEF-2537A6DC5C32}">
  <sheetPr codeName="Feuil8"/>
  <dimension ref="A1:O1228"/>
  <sheetViews>
    <sheetView showGridLines="0" topLeftCell="A12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15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46023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45658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46020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45656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46020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IFERROR(INDEX(Données!F:F,MATCH($E$4&amp;"|"&amp;TEXT(C6,"aaaa-mm-jj"),Données!A:A,0)),0)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45657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46021</v>
      </c>
      <c r="D7" s="27">
        <f>IFERROR(INDEX(Données!F:F,MATCH($D$4&amp;"|"&amp;TEXT(B7,"aaaa-mm-jj"),Données!A:A,0)),0)</f>
        <v>0</v>
      </c>
      <c r="E7" s="68">
        <f>IFERROR(INDEX(Données!F:F,MATCH($E$4&amp;"|"&amp;TEXT(C7,"aaaa-mm-jj"),Données!A:A,0)),0)</f>
        <v>0</v>
      </c>
      <c r="F7" s="3">
        <f t="shared" si="0"/>
        <v>0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45658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46022</v>
      </c>
      <c r="D8" s="27">
        <f>IFERROR(INDEX(Données!F:F,MATCH($D$4&amp;"|"&amp;TEXT(B8,"aaaa-mm-jj"),Données!A:A,0)),0)</f>
        <v>0</v>
      </c>
      <c r="E8" s="68">
        <f>IFERROR(INDEX(Données!F:F,MATCH($E$4&amp;"|"&amp;TEXT(C8,"aaaa-mm-jj"),Données!A:A,0)),0)</f>
        <v>0</v>
      </c>
      <c r="F8" s="3">
        <f t="shared" si="0"/>
        <v>0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45659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46023</v>
      </c>
      <c r="D9" s="27">
        <f>IFERROR(INDEX(Données!F:F,MATCH($D$4&amp;"|"&amp;TEXT(B9,"aaaa-mm-jj"),Données!A:A,0)),0)</f>
        <v>0</v>
      </c>
      <c r="E9" s="68">
        <f>IFERROR(INDEX(Données!F:F,MATCH($E$4&amp;"|"&amp;TEXT(C9,"aaaa-mm-jj"),Données!A:A,0)),0)</f>
        <v>0</v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45660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46024</v>
      </c>
      <c r="D10" s="27">
        <f>IFERROR(INDEX(Données!F:F,MATCH($D$4&amp;"|"&amp;TEXT(B10,"aaaa-mm-jj"),Données!A:A,0)),0)</f>
        <v>709.8</v>
      </c>
      <c r="E10" s="68">
        <f>IFERROR(INDEX(Données!F:F,MATCH($E$4&amp;"|"&amp;TEXT(C10,"aaaa-mm-jj"),Données!A:A,0)),0)</f>
        <v>0</v>
      </c>
      <c r="F10" s="3">
        <f t="shared" si="0"/>
        <v>-709.8</v>
      </c>
      <c r="G10" s="4">
        <f t="shared" si="1"/>
        <v>-1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45661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46025</v>
      </c>
      <c r="D11" s="27">
        <f>IFERROR(INDEX(Données!F:F,MATCH($D$4&amp;"|"&amp;TEXT(B11,"aaaa-mm-jj"),Données!A:A,0)),0)</f>
        <v>349</v>
      </c>
      <c r="E11" s="68">
        <f>IFERROR(INDEX(Données!F:F,MATCH($E$4&amp;"|"&amp;TEXT(C11,"aaaa-mm-jj"),Données!A:A,0)),0)</f>
        <v>0</v>
      </c>
      <c r="F11" s="3">
        <f t="shared" si="0"/>
        <v>-349</v>
      </c>
      <c r="G11" s="4">
        <f t="shared" si="1"/>
        <v>-1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45662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46026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IFERROR(INDEX(Données!F:F,MATCH($E$4&amp;"|"&amp;TEXT(C12,"aaaa-mm-jj"),Données!A:A,0)),0)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45663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46027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IFERROR(INDEX(Données!F:F,MATCH($E$4&amp;"|"&amp;TEXT(C13,"aaaa-mm-jj"),Données!A:A,0)),0)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45664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46028</v>
      </c>
      <c r="D14" s="27">
        <f>IFERROR(INDEX(Données!F:F,MATCH($D$4&amp;"|"&amp;TEXT(B14,"aaaa-mm-jj"),Données!A:A,0)),0)</f>
        <v>502</v>
      </c>
      <c r="E14" s="68">
        <f>IFERROR(INDEX(Données!F:F,MATCH($E$4&amp;"|"&amp;TEXT(C14,"aaaa-mm-jj"),Données!A:A,0)),0)</f>
        <v>0</v>
      </c>
      <c r="F14" s="3">
        <f t="shared" si="0"/>
        <v>-502</v>
      </c>
      <c r="G14" s="4">
        <f t="shared" si="1"/>
        <v>-1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45665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46029</v>
      </c>
      <c r="D15" s="27">
        <f>IFERROR(INDEX(Données!F:F,MATCH($D$4&amp;"|"&amp;TEXT(B15,"aaaa-mm-jj"),Données!A:A,0)),0)</f>
        <v>791</v>
      </c>
      <c r="E15" s="68">
        <f>IFERROR(INDEX(Données!F:F,MATCH($E$4&amp;"|"&amp;TEXT(C15,"aaaa-mm-jj"),Données!A:A,0)),0)</f>
        <v>0</v>
      </c>
      <c r="F15" s="3">
        <f t="shared" si="0"/>
        <v>-791</v>
      </c>
      <c r="G15" s="4">
        <f t="shared" si="1"/>
        <v>-1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45666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46030</v>
      </c>
      <c r="D16" s="27">
        <f>IFERROR(INDEX(Données!F:F,MATCH($D$4&amp;"|"&amp;TEXT(B16,"aaaa-mm-jj"),Données!A:A,0)),0)</f>
        <v>645</v>
      </c>
      <c r="E16" s="68">
        <f>IFERROR(INDEX(Données!F:F,MATCH($E$4&amp;"|"&amp;TEXT(C16,"aaaa-mm-jj"),Données!A:A,0)),0)</f>
        <v>0</v>
      </c>
      <c r="F16" s="3">
        <f t="shared" si="0"/>
        <v>-645</v>
      </c>
      <c r="G16" s="4">
        <f t="shared" si="1"/>
        <v>-1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45667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46031</v>
      </c>
      <c r="D17" s="27">
        <f>IFERROR(INDEX(Données!F:F,MATCH($D$4&amp;"|"&amp;TEXT(B17,"aaaa-mm-jj"),Données!A:A,0)),0)</f>
        <v>765.4</v>
      </c>
      <c r="E17" s="68">
        <f>IFERROR(INDEX(Données!F:F,MATCH($E$4&amp;"|"&amp;TEXT(C17,"aaaa-mm-jj"),Données!A:A,0)),0)</f>
        <v>0</v>
      </c>
      <c r="F17" s="3">
        <f t="shared" si="0"/>
        <v>-765.4</v>
      </c>
      <c r="G17" s="4">
        <f t="shared" si="1"/>
        <v>-1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45668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46032</v>
      </c>
      <c r="D18" s="27">
        <f>IFERROR(INDEX(Données!F:F,MATCH($D$4&amp;"|"&amp;TEXT(B18,"aaaa-mm-jj"),Données!A:A,0)),0)</f>
        <v>352</v>
      </c>
      <c r="E18" s="68">
        <f>IFERROR(INDEX(Données!F:F,MATCH($E$4&amp;"|"&amp;TEXT(C18,"aaaa-mm-jj"),Données!A:A,0)),0)</f>
        <v>0</v>
      </c>
      <c r="F18" s="3">
        <f t="shared" si="0"/>
        <v>-352</v>
      </c>
      <c r="G18" s="4">
        <f t="shared" si="1"/>
        <v>-1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45669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46033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IFERROR(INDEX(Données!F:F,MATCH($E$4&amp;"|"&amp;TEXT(C19,"aaaa-mm-jj"),Données!A:A,0)),0)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45670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46034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IFERROR(INDEX(Données!F:F,MATCH($E$4&amp;"|"&amp;TEXT(C20,"aaaa-mm-jj"),Données!A:A,0)),0)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45671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46035</v>
      </c>
      <c r="D21" s="27">
        <f>IFERROR(INDEX(Données!F:F,MATCH($D$4&amp;"|"&amp;TEXT(B21,"aaaa-mm-jj"),Données!A:A,0)),0)</f>
        <v>568</v>
      </c>
      <c r="E21" s="68">
        <f>IFERROR(INDEX(Données!F:F,MATCH($E$4&amp;"|"&amp;TEXT(C21,"aaaa-mm-jj"),Données!A:A,0)),0)</f>
        <v>0</v>
      </c>
      <c r="F21" s="3">
        <f t="shared" si="0"/>
        <v>-568</v>
      </c>
      <c r="G21" s="4">
        <f t="shared" si="1"/>
        <v>-1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45672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46036</v>
      </c>
      <c r="D22" s="27">
        <f>IFERROR(INDEX(Données!F:F,MATCH($D$4&amp;"|"&amp;TEXT(B22,"aaaa-mm-jj"),Données!A:A,0)),0)</f>
        <v>831</v>
      </c>
      <c r="E22" s="68">
        <f>IFERROR(INDEX(Données!F:F,MATCH($E$4&amp;"|"&amp;TEXT(C22,"aaaa-mm-jj"),Données!A:A,0)),0)</f>
        <v>0</v>
      </c>
      <c r="F22" s="3">
        <f t="shared" si="0"/>
        <v>-831</v>
      </c>
      <c r="G22" s="4">
        <f t="shared" si="1"/>
        <v>-1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45673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46037</v>
      </c>
      <c r="D23" s="27">
        <f>IFERROR(INDEX(Données!F:F,MATCH($D$4&amp;"|"&amp;TEXT(B23,"aaaa-mm-jj"),Données!A:A,0)),0)</f>
        <v>742.6</v>
      </c>
      <c r="E23" s="68">
        <f>IFERROR(INDEX(Données!F:F,MATCH($E$4&amp;"|"&amp;TEXT(C23,"aaaa-mm-jj"),Données!A:A,0)),0)</f>
        <v>0</v>
      </c>
      <c r="F23" s="3">
        <f t="shared" si="0"/>
        <v>-742.6</v>
      </c>
      <c r="G23" s="4">
        <f t="shared" si="1"/>
        <v>-1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45674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46038</v>
      </c>
      <c r="D24" s="27">
        <f>IFERROR(INDEX(Données!F:F,MATCH($D$4&amp;"|"&amp;TEXT(B24,"aaaa-mm-jj"),Données!A:A,0)),0)</f>
        <v>631</v>
      </c>
      <c r="E24" s="68">
        <f>IFERROR(INDEX(Données!F:F,MATCH($E$4&amp;"|"&amp;TEXT(C24,"aaaa-mm-jj"),Données!A:A,0)),0)</f>
        <v>0</v>
      </c>
      <c r="F24" s="3">
        <f t="shared" si="0"/>
        <v>-631</v>
      </c>
      <c r="G24" s="4">
        <f t="shared" si="1"/>
        <v>-1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45675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46039</v>
      </c>
      <c r="D25" s="27">
        <f>IFERROR(INDEX(Données!F:F,MATCH($D$4&amp;"|"&amp;TEXT(B25,"aaaa-mm-jj"),Données!A:A,0)),0)</f>
        <v>484</v>
      </c>
      <c r="E25" s="68">
        <f>IFERROR(INDEX(Données!F:F,MATCH($E$4&amp;"|"&amp;TEXT(C25,"aaaa-mm-jj"),Données!A:A,0)),0)</f>
        <v>0</v>
      </c>
      <c r="F25" s="3">
        <f t="shared" si="0"/>
        <v>-484</v>
      </c>
      <c r="G25" s="4">
        <f t="shared" si="1"/>
        <v>-1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45676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46040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IFERROR(INDEX(Données!F:F,MATCH($E$4&amp;"|"&amp;TEXT(C26,"aaaa-mm-jj"),Données!A:A,0)),0)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45677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46041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IFERROR(INDEX(Données!F:F,MATCH($E$4&amp;"|"&amp;TEXT(C27,"aaaa-mm-jj"),Données!A:A,0)),0)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45678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46042</v>
      </c>
      <c r="D28" s="27">
        <f>IFERROR(INDEX(Données!F:F,MATCH($D$4&amp;"|"&amp;TEXT(B28,"aaaa-mm-jj"),Données!A:A,0)),0)</f>
        <v>503</v>
      </c>
      <c r="E28" s="68">
        <f>IFERROR(INDEX(Données!F:F,MATCH($E$4&amp;"|"&amp;TEXT(C28,"aaaa-mm-jj"),Données!A:A,0)),0)</f>
        <v>0</v>
      </c>
      <c r="F28" s="3">
        <f t="shared" si="0"/>
        <v>-503</v>
      </c>
      <c r="G28" s="4">
        <f t="shared" si="1"/>
        <v>-1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45679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46043</v>
      </c>
      <c r="D29" s="27">
        <f>IFERROR(INDEX(Données!F:F,MATCH($D$4&amp;"|"&amp;TEXT(B29,"aaaa-mm-jj"),Données!A:A,0)),0)</f>
        <v>1000</v>
      </c>
      <c r="E29" s="68">
        <f>IFERROR(INDEX(Données!F:F,MATCH($E$4&amp;"|"&amp;TEXT(C29,"aaaa-mm-jj"),Données!A:A,0)),0)</f>
        <v>0</v>
      </c>
      <c r="F29" s="3">
        <f t="shared" si="0"/>
        <v>-1000</v>
      </c>
      <c r="G29" s="4">
        <f t="shared" si="1"/>
        <v>-1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45680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46044</v>
      </c>
      <c r="D30" s="27">
        <f>IFERROR(INDEX(Données!F:F,MATCH($D$4&amp;"|"&amp;TEXT(B30,"aaaa-mm-jj"),Données!A:A,0)),0)</f>
        <v>555</v>
      </c>
      <c r="E30" s="68">
        <f>IFERROR(INDEX(Données!F:F,MATCH($E$4&amp;"|"&amp;TEXT(C30,"aaaa-mm-jj"),Données!A:A,0)),0)</f>
        <v>0</v>
      </c>
      <c r="F30" s="3">
        <f t="shared" si="0"/>
        <v>-555</v>
      </c>
      <c r="G30" s="4">
        <f t="shared" si="1"/>
        <v>-1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45681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46045</v>
      </c>
      <c r="D31" s="27">
        <f>IFERROR(INDEX(Données!F:F,MATCH($D$4&amp;"|"&amp;TEXT(B31,"aaaa-mm-jj"),Données!A:A,0)),0)</f>
        <v>631</v>
      </c>
      <c r="E31" s="68">
        <f>IFERROR(INDEX(Données!F:F,MATCH($E$4&amp;"|"&amp;TEXT(C31,"aaaa-mm-jj"),Données!A:A,0)),0)</f>
        <v>0</v>
      </c>
      <c r="F31" s="3">
        <f t="shared" si="0"/>
        <v>-631</v>
      </c>
      <c r="G31" s="4">
        <f t="shared" si="1"/>
        <v>-1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45682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46046</v>
      </c>
      <c r="D32" s="27">
        <f>IFERROR(INDEX(Données!F:F,MATCH($D$4&amp;"|"&amp;TEXT(B32,"aaaa-mm-jj"),Données!A:A,0)),0)</f>
        <v>331</v>
      </c>
      <c r="E32" s="68">
        <f>IFERROR(INDEX(Données!F:F,MATCH($E$4&amp;"|"&amp;TEXT(C32,"aaaa-mm-jj"),Données!A:A,0)),0)</f>
        <v>0</v>
      </c>
      <c r="F32" s="3">
        <f t="shared" si="0"/>
        <v>-331</v>
      </c>
      <c r="G32" s="4">
        <f t="shared" si="1"/>
        <v>-1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45683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46047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IFERROR(INDEX(Données!F:F,MATCH($E$4&amp;"|"&amp;TEXT(C33,"aaaa-mm-jj"),Données!A:A,0)),0)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45684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46048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IFERROR(INDEX(Données!F:F,MATCH($E$4&amp;"|"&amp;TEXT(C34,"aaaa-mm-jj"),Données!A:A,0)),0)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45685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46049</v>
      </c>
      <c r="D35" s="27">
        <f>IFERROR(INDEX(Données!F:F,MATCH($D$4&amp;"|"&amp;TEXT(B35,"aaaa-mm-jj"),Données!A:A,0)),0)</f>
        <v>555</v>
      </c>
      <c r="E35" s="68">
        <f>IFERROR(INDEX(Données!F:F,MATCH($E$4&amp;"|"&amp;TEXT(C35,"aaaa-mm-jj"),Données!A:A,0)),0)</f>
        <v>0</v>
      </c>
      <c r="F35" s="3">
        <f t="shared" si="0"/>
        <v>-555</v>
      </c>
      <c r="G35" s="4">
        <f t="shared" si="1"/>
        <v>-1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45686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46050</v>
      </c>
      <c r="D36" s="27">
        <f>IFERROR(INDEX(Données!F:F,MATCH($D$4&amp;"|"&amp;TEXT(B36,"aaaa-mm-jj"),Données!A:A,0)),0)</f>
        <v>651</v>
      </c>
      <c r="E36" s="68">
        <f>IFERROR(INDEX(Données!F:F,MATCH($E$4&amp;"|"&amp;TEXT(C36,"aaaa-mm-jj"),Données!A:A,0)),0)</f>
        <v>0</v>
      </c>
      <c r="F36" s="3">
        <f t="shared" si="0"/>
        <v>-651</v>
      </c>
      <c r="G36" s="4">
        <f t="shared" si="1"/>
        <v>-1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45687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46051</v>
      </c>
      <c r="D37" s="27">
        <f>IFERROR(INDEX(Données!F:F,MATCH($D$4&amp;"|"&amp;TEXT(B37,"aaaa-mm-jj"),Données!A:A,0)),0)</f>
        <v>499</v>
      </c>
      <c r="E37" s="68">
        <f>IFERROR(INDEX(Données!F:F,MATCH($E$4&amp;"|"&amp;TEXT(C37,"aaaa-mm-jj"),Données!A:A,0)),0)</f>
        <v>0</v>
      </c>
      <c r="F37" s="3">
        <f t="shared" si="0"/>
        <v>-499</v>
      </c>
      <c r="G37" s="4">
        <f t="shared" si="1"/>
        <v>-1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45688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46052</v>
      </c>
      <c r="D38" s="27">
        <f>IFERROR(INDEX(Données!F:F,MATCH($D$4&amp;"|"&amp;TEXT(B38,"aaaa-mm-jj"),Données!A:A,0)),0)</f>
        <v>610.5</v>
      </c>
      <c r="E38" s="68">
        <f>IFERROR(INDEX(Données!F:F,MATCH($E$4&amp;"|"&amp;TEXT(C38,"aaaa-mm-jj"),Données!A:A,0)),0)</f>
        <v>0</v>
      </c>
      <c r="F38" s="3">
        <f t="shared" si="0"/>
        <v>-610.5</v>
      </c>
      <c r="G38" s="4">
        <f t="shared" si="1"/>
        <v>-1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45689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46053</v>
      </c>
      <c r="D39" s="27">
        <f>IFERROR(INDEX(Données!F:F,MATCH($D$4&amp;"|"&amp;TEXT(B39,"aaaa-mm-jj"),Données!A:A,0)),0)</f>
        <v>321</v>
      </c>
      <c r="E39" s="68">
        <f>IFERROR(INDEX(Données!F:F,MATCH($E$4&amp;"|"&amp;TEXT(C39,"aaaa-mm-jj"),Données!A:A,0)),0)</f>
        <v>0</v>
      </c>
      <c r="F39" s="3">
        <f t="shared" si="0"/>
        <v>-321</v>
      </c>
      <c r="G39" s="4">
        <f t="shared" si="1"/>
        <v>-1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45690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46054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45691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46055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IFERROR(INDEX(Données!F:F,MATCH($E$4&amp;"|"&amp;TEXT(C41,"aaaa-mm-jj"),Données!A:A,0)),0)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45692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46056</v>
      </c>
      <c r="D42" s="27">
        <f>IFERROR(INDEX(Données!F:F,MATCH($D$4&amp;"|"&amp;TEXT(B42,"aaaa-mm-jj"),Données!A:A,0)),0)</f>
        <v>707</v>
      </c>
      <c r="E42" s="68">
        <f>IFERROR(INDEX(Données!F:F,MATCH($E$4&amp;"|"&amp;TEXT(C42,"aaaa-mm-jj"),Données!A:A,0)),0)</f>
        <v>0</v>
      </c>
      <c r="F42" s="3">
        <f t="shared" si="0"/>
        <v>-707</v>
      </c>
      <c r="G42" s="4">
        <f t="shared" si="1"/>
        <v>-1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45693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46057</v>
      </c>
      <c r="D43" s="27">
        <f>IFERROR(INDEX(Données!F:F,MATCH($D$4&amp;"|"&amp;TEXT(B43,"aaaa-mm-jj"),Données!A:A,0)),0)</f>
        <v>771</v>
      </c>
      <c r="E43" s="68">
        <f>IFERROR(INDEX(Données!F:F,MATCH($E$4&amp;"|"&amp;TEXT(C43,"aaaa-mm-jj"),Données!A:A,0)),0)</f>
        <v>0</v>
      </c>
      <c r="F43" s="3">
        <f t="shared" si="0"/>
        <v>-771</v>
      </c>
      <c r="G43" s="4">
        <f t="shared" si="1"/>
        <v>-1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46059</v>
      </c>
      <c r="D44" s="2" t="str">
        <f>IFERROR(INDEX(Données!F:F,MATCH("2025|" &amp; TEXT(B44,"aaaa-mm-jj"),Données!A:A,0)),"")</f>
        <v/>
      </c>
      <c r="E44" s="70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46060</v>
      </c>
      <c r="D45" s="2" t="str">
        <f>IFERROR(INDEX(Données!F:F,MATCH("2025|" &amp; TEXT(B45,"aaaa-mm-jj"),Données!A:A,0)),"")</f>
        <v/>
      </c>
      <c r="E45" s="70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46061</v>
      </c>
      <c r="D46" s="2" t="str">
        <f>IFERROR(INDEX(Données!F:F,MATCH("2025|" &amp; TEXT(B46,"aaaa-mm-jj"),Données!A:A,0)),"")</f>
        <v/>
      </c>
      <c r="E46" s="70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46062</v>
      </c>
      <c r="D47" s="2" t="str">
        <f>IFERROR(INDEX(Données!F:F,MATCH("2025|" &amp; TEXT(B47,"aaaa-mm-jj"),Données!A:A,0)),"")</f>
        <v/>
      </c>
      <c r="E47" s="70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46063</v>
      </c>
      <c r="D48" s="2" t="str">
        <f>IFERROR(INDEX(Données!F:F,MATCH("2025|" &amp; TEXT(B48,"aaaa-mm-jj"),Données!A:A,0)),"")</f>
        <v/>
      </c>
      <c r="E48" s="70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46064</v>
      </c>
      <c r="D49" s="2" t="str">
        <f>IFERROR(INDEX(Données!F:F,MATCH("2025|" &amp; TEXT(B49,"aaaa-mm-jj"),Données!A:A,0)),"")</f>
        <v/>
      </c>
      <c r="E49" s="70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46065</v>
      </c>
      <c r="D50" s="2" t="str">
        <f>IFERROR(INDEX(Données!F:F,MATCH("2025|" &amp; TEXT(B50,"aaaa-mm-jj"),Données!A:A,0)),"")</f>
        <v/>
      </c>
      <c r="E50" s="70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46066</v>
      </c>
      <c r="D51" s="2" t="str">
        <f>IFERROR(INDEX(Données!F:F,MATCH("2025|" &amp; TEXT(B51,"aaaa-mm-jj"),Données!A:A,0)),"")</f>
        <v/>
      </c>
      <c r="E51" s="70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46067</v>
      </c>
      <c r="D52" s="2" t="str">
        <f>IFERROR(INDEX(Données!F:F,MATCH("2025|" &amp; TEXT(B52,"aaaa-mm-jj"),Données!A:A,0)),"")</f>
        <v/>
      </c>
      <c r="E52" s="70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46068</v>
      </c>
      <c r="D53" s="2" t="str">
        <f>IFERROR(INDEX(Données!F:F,MATCH("2025|" &amp; TEXT(B53,"aaaa-mm-jj"),Données!A:A,0)),"")</f>
        <v/>
      </c>
      <c r="E53" s="70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12706.300000000001</v>
      </c>
      <c r="E54" s="28">
        <f>SUMIFS(E:E, C:C, "&gt;="&amp;DATE(YEAR($M$2),MONTH($M$2),1), C:C, "&lt;"&amp;DATE(YEAR($M$2),MONTH($M$2)+1,1))</f>
        <v>0</v>
      </c>
      <c r="F54" s="29">
        <f>E54 - D54</f>
        <v>-12706.300000000001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décembre!D56 + D54</f>
        <v>85895.3</v>
      </c>
      <c r="E56" s="5">
        <f>décembre!E56 + E54</f>
        <v>78275.7</v>
      </c>
      <c r="F56" s="6">
        <f>E56-D56</f>
        <v>-7619.6000000000058</v>
      </c>
      <c r="G56" s="7">
        <f>IFERROR((E56-D56)/D56,0)</f>
        <v>-8.870799682869733E-2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35" priority="5">
      <formula>$A5="lundi"</formula>
    </cfRule>
    <cfRule type="expression" dxfId="34" priority="6">
      <formula>$A5="dimanche"</formula>
    </cfRule>
  </conditionalFormatting>
  <conditionalFormatting sqref="C6:C53">
    <cfRule type="expression" dxfId="33" priority="4">
      <formula>MONTH($C6)&lt;&gt;MONTH($M$2)</formula>
    </cfRule>
  </conditionalFormatting>
  <conditionalFormatting sqref="B6:B53">
    <cfRule type="expression" dxfId="32" priority="3">
      <formula>MONTH($B6)&lt;&gt;MONTH($M$3)</formula>
    </cfRule>
  </conditionalFormatting>
  <conditionalFormatting sqref="E6:E53">
    <cfRule type="expression" dxfId="31" priority="2">
      <formula>MONTH($C6)&lt;&gt;MONTH($M$2)</formula>
    </cfRule>
  </conditionalFormatting>
  <conditionalFormatting sqref="D6:D53">
    <cfRule type="expression" dxfId="30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8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9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0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1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2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6C86E72-8A5C-4887-8FFD-5249CA7123DF}">
          <x14:formula1>
            <xm:f>Feuil1!$A$1:$A$19</xm:f>
          </x14:formula1>
          <xm:sqref>D4:E4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2EC70-C185-490E-ACCB-2C3CED1C3F61}">
  <sheetPr codeName="Feuil9"/>
  <dimension ref="A1:O1228"/>
  <sheetViews>
    <sheetView showGridLines="0" topLeftCell="A26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51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46054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45689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46048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45684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46048</v>
      </c>
      <c r="D6" s="27">
        <f>IFERROR(INDEX(Données!F:F,MATCH($D$4&amp;"|"&amp;TEXT(B6,"aaaa-mm-jj"),Données!A:A,0)),0)</f>
        <v>0</v>
      </c>
      <c r="E6" s="68" t="str">
        <f>IFERROR(INDEX(Données!F:F,MATCH($E$4&amp;"|"&amp;TEXT(C6,"aaaa-mm-jj"),Données!A:A,0)),"")</f>
        <v/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45685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46049</v>
      </c>
      <c r="D7" s="27">
        <f>IFERROR(INDEX(Données!F:F,MATCH($D$4&amp;"|"&amp;TEXT(B7,"aaaa-mm-jj"),Données!A:A,0)),0)</f>
        <v>555</v>
      </c>
      <c r="E7" s="68" t="str">
        <f>IFERROR(INDEX(Données!F:F,MATCH($E$4&amp;"|"&amp;TEXT(C7,"aaaa-mm-jj"),Données!A:A,0)),"")</f>
        <v/>
      </c>
      <c r="F7" s="3">
        <f t="shared" si="0"/>
        <v>0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45686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46050</v>
      </c>
      <c r="D8" s="27">
        <f>IFERROR(INDEX(Données!F:F,MATCH($D$4&amp;"|"&amp;TEXT(B8,"aaaa-mm-jj"),Données!A:A,0)),0)</f>
        <v>651</v>
      </c>
      <c r="E8" s="68" t="str">
        <f>IFERROR(INDEX(Données!F:F,MATCH($E$4&amp;"|"&amp;TEXT(C8,"aaaa-mm-jj"),Données!A:A,0)),"")</f>
        <v/>
      </c>
      <c r="F8" s="3">
        <f t="shared" si="0"/>
        <v>0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45687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46051</v>
      </c>
      <c r="D9" s="27">
        <f>IFERROR(INDEX(Données!F:F,MATCH($D$4&amp;"|"&amp;TEXT(B9,"aaaa-mm-jj"),Données!A:A,0)),0)</f>
        <v>499</v>
      </c>
      <c r="E9" s="68" t="str">
        <f>IFERROR(INDEX(Données!F:F,MATCH($E$4&amp;"|"&amp;TEXT(C9,"aaaa-mm-jj"),Données!A:A,0)),"")</f>
        <v/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45688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46052</v>
      </c>
      <c r="D10" s="27">
        <f>IFERROR(INDEX(Données!F:F,MATCH($D$4&amp;"|"&amp;TEXT(B10,"aaaa-mm-jj"),Données!A:A,0)),0)</f>
        <v>610.5</v>
      </c>
      <c r="E10" s="68" t="str">
        <f>IFERROR(INDEX(Données!F:F,MATCH($E$4&amp;"|"&amp;TEXT(C10,"aaaa-mm-jj"),Données!A:A,0)),"")</f>
        <v/>
      </c>
      <c r="F10" s="3">
        <f t="shared" si="0"/>
        <v>0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45689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46053</v>
      </c>
      <c r="D11" s="27">
        <f>IFERROR(INDEX(Données!F:F,MATCH($D$4&amp;"|"&amp;TEXT(B11,"aaaa-mm-jj"),Données!A:A,0)),0)</f>
        <v>321</v>
      </c>
      <c r="E11" s="68" t="str">
        <f>IFERROR(INDEX(Données!F:F,MATCH($E$4&amp;"|"&amp;TEXT(C11,"aaaa-mm-jj"),Données!A:A,0)),"")</f>
        <v/>
      </c>
      <c r="F11" s="3">
        <f t="shared" si="0"/>
        <v>0</v>
      </c>
      <c r="G11" s="4">
        <f t="shared" si="1"/>
        <v>0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45690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46054</v>
      </c>
      <c r="D12" s="27">
        <f>IFERROR(INDEX(Données!F:F,MATCH($D$4&amp;"|"&amp;TEXT(B12,"aaaa-mm-jj"),Données!A:A,0)),0)</f>
        <v>0</v>
      </c>
      <c r="E12" s="68" t="str">
        <f>IFERROR(INDEX(Données!F:F,MATCH($E$4&amp;"|"&amp;TEXT(C12,"aaaa-mm-jj"),Données!A:A,0)),"")</f>
        <v/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45691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46055</v>
      </c>
      <c r="D13" s="27">
        <f>IFERROR(INDEX(Données!F:F,MATCH($D$4&amp;"|"&amp;TEXT(B13,"aaaa-mm-jj"),Données!A:A,0)),0)</f>
        <v>0</v>
      </c>
      <c r="E13" s="68" t="str">
        <f>IFERROR(INDEX(Données!F:F,MATCH($E$4&amp;"|"&amp;TEXT(C13,"aaaa-mm-jj"),Données!A:A,0)),"")</f>
        <v/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45692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46056</v>
      </c>
      <c r="D14" s="27">
        <f>IFERROR(INDEX(Données!F:F,MATCH($D$4&amp;"|"&amp;TEXT(B14,"aaaa-mm-jj"),Données!A:A,0)),0)</f>
        <v>707</v>
      </c>
      <c r="E14" s="68" t="str">
        <f>IFERROR(INDEX(Données!F:F,MATCH($E$4&amp;"|"&amp;TEXT(C14,"aaaa-mm-jj"),Données!A:A,0)),"")</f>
        <v/>
      </c>
      <c r="F14" s="3">
        <f t="shared" si="0"/>
        <v>0</v>
      </c>
      <c r="G14" s="4">
        <f t="shared" si="1"/>
        <v>0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45693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46057</v>
      </c>
      <c r="D15" s="27">
        <f>IFERROR(INDEX(Données!F:F,MATCH($D$4&amp;"|"&amp;TEXT(B15,"aaaa-mm-jj"),Données!A:A,0)),0)</f>
        <v>771</v>
      </c>
      <c r="E15" s="68" t="str">
        <f>IFERROR(INDEX(Données!F:F,MATCH($E$4&amp;"|"&amp;TEXT(C15,"aaaa-mm-jj"),Données!A:A,0)),"")</f>
        <v/>
      </c>
      <c r="F15" s="3">
        <f t="shared" si="0"/>
        <v>0</v>
      </c>
      <c r="G15" s="4">
        <f t="shared" si="1"/>
        <v>0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45694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46058</v>
      </c>
      <c r="D16" s="27">
        <f>IFERROR(INDEX(Données!F:F,MATCH($D$4&amp;"|"&amp;TEXT(B16,"aaaa-mm-jj"),Données!A:A,0)),0)</f>
        <v>739.8</v>
      </c>
      <c r="E16" s="68" t="str">
        <f>IFERROR(INDEX(Données!F:F,MATCH($E$4&amp;"|"&amp;TEXT(C16,"aaaa-mm-jj"),Données!A:A,0)),"")</f>
        <v/>
      </c>
      <c r="F16" s="3">
        <f t="shared" si="0"/>
        <v>0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45695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46059</v>
      </c>
      <c r="D17" s="27">
        <f>IFERROR(INDEX(Données!F:F,MATCH($D$4&amp;"|"&amp;TEXT(B17,"aaaa-mm-jj"),Données!A:A,0)),0)</f>
        <v>945</v>
      </c>
      <c r="E17" s="68" t="str">
        <f>IFERROR(INDEX(Données!F:F,MATCH($E$4&amp;"|"&amp;TEXT(C17,"aaaa-mm-jj"),Données!A:A,0)),"")</f>
        <v/>
      </c>
      <c r="F17" s="3">
        <f t="shared" si="0"/>
        <v>0</v>
      </c>
      <c r="G17" s="4">
        <f t="shared" si="1"/>
        <v>0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45696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46060</v>
      </c>
      <c r="D18" s="27">
        <f>IFERROR(INDEX(Données!F:F,MATCH($D$4&amp;"|"&amp;TEXT(B18,"aaaa-mm-jj"),Données!A:A,0)),0)</f>
        <v>402</v>
      </c>
      <c r="E18" s="68" t="str">
        <f>IFERROR(INDEX(Données!F:F,MATCH($E$4&amp;"|"&amp;TEXT(C18,"aaaa-mm-jj"),Données!A:A,0)),"")</f>
        <v/>
      </c>
      <c r="F18" s="3">
        <f t="shared" si="0"/>
        <v>0</v>
      </c>
      <c r="G18" s="4">
        <f t="shared" si="1"/>
        <v>0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45697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46061</v>
      </c>
      <c r="D19" s="27">
        <f>IFERROR(INDEX(Données!F:F,MATCH($D$4&amp;"|"&amp;TEXT(B19,"aaaa-mm-jj"),Données!A:A,0)),0)</f>
        <v>0</v>
      </c>
      <c r="E19" s="68" t="str">
        <f>IFERROR(INDEX(Données!F:F,MATCH($E$4&amp;"|"&amp;TEXT(C19,"aaaa-mm-jj"),Données!A:A,0)),"")</f>
        <v/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45698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46062</v>
      </c>
      <c r="D20" s="27">
        <f>IFERROR(INDEX(Données!F:F,MATCH($D$4&amp;"|"&amp;TEXT(B20,"aaaa-mm-jj"),Données!A:A,0)),0)</f>
        <v>0</v>
      </c>
      <c r="E20" s="68" t="str">
        <f>IFERROR(INDEX(Données!F:F,MATCH($E$4&amp;"|"&amp;TEXT(C20,"aaaa-mm-jj"),Données!A:A,0)),"")</f>
        <v/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45699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46063</v>
      </c>
      <c r="D21" s="27">
        <f>IFERROR(INDEX(Données!F:F,MATCH($D$4&amp;"|"&amp;TEXT(B21,"aaaa-mm-jj"),Données!A:A,0)),0)</f>
        <v>769.8</v>
      </c>
      <c r="E21" s="68" t="str">
        <f>IFERROR(INDEX(Données!F:F,MATCH($E$4&amp;"|"&amp;TEXT(C21,"aaaa-mm-jj"),Données!A:A,0)),"")</f>
        <v/>
      </c>
      <c r="F21" s="3">
        <f t="shared" si="0"/>
        <v>0</v>
      </c>
      <c r="G21" s="4">
        <f t="shared" si="1"/>
        <v>0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45700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46064</v>
      </c>
      <c r="D22" s="27">
        <f>IFERROR(INDEX(Données!F:F,MATCH($D$4&amp;"|"&amp;TEXT(B22,"aaaa-mm-jj"),Données!A:A,0)),0)</f>
        <v>807</v>
      </c>
      <c r="E22" s="68" t="str">
        <f>IFERROR(INDEX(Données!F:F,MATCH($E$4&amp;"|"&amp;TEXT(C22,"aaaa-mm-jj"),Données!A:A,0)),"")</f>
        <v/>
      </c>
      <c r="F22" s="3">
        <f t="shared" si="0"/>
        <v>0</v>
      </c>
      <c r="G22" s="4">
        <f t="shared" si="1"/>
        <v>0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45701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46065</v>
      </c>
      <c r="D23" s="27">
        <f>IFERROR(INDEX(Données!F:F,MATCH($D$4&amp;"|"&amp;TEXT(B23,"aaaa-mm-jj"),Données!A:A,0)),0)</f>
        <v>824</v>
      </c>
      <c r="E23" s="68" t="str">
        <f>IFERROR(INDEX(Données!F:F,MATCH($E$4&amp;"|"&amp;TEXT(C23,"aaaa-mm-jj"),Données!A:A,0)),"")</f>
        <v/>
      </c>
      <c r="F23" s="3">
        <f t="shared" si="0"/>
        <v>0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45702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46066</v>
      </c>
      <c r="D24" s="27">
        <f>IFERROR(INDEX(Données!F:F,MATCH($D$4&amp;"|"&amp;TEXT(B24,"aaaa-mm-jj"),Données!A:A,0)),0)</f>
        <v>630</v>
      </c>
      <c r="E24" s="68" t="str">
        <f>IFERROR(INDEX(Données!F:F,MATCH($E$4&amp;"|"&amp;TEXT(C24,"aaaa-mm-jj"),Données!A:A,0)),"")</f>
        <v/>
      </c>
      <c r="F24" s="3">
        <f t="shared" si="0"/>
        <v>0</v>
      </c>
      <c r="G24" s="4">
        <f t="shared" si="1"/>
        <v>0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45703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46067</v>
      </c>
      <c r="D25" s="27">
        <f>IFERROR(INDEX(Données!F:F,MATCH($D$4&amp;"|"&amp;TEXT(B25,"aaaa-mm-jj"),Données!A:A,0)),0)</f>
        <v>225</v>
      </c>
      <c r="E25" s="68" t="str">
        <f>IFERROR(INDEX(Données!F:F,MATCH($E$4&amp;"|"&amp;TEXT(C25,"aaaa-mm-jj"),Données!A:A,0)),"")</f>
        <v/>
      </c>
      <c r="F25" s="3">
        <f t="shared" si="0"/>
        <v>0</v>
      </c>
      <c r="G25" s="4">
        <f t="shared" si="1"/>
        <v>0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45704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46068</v>
      </c>
      <c r="D26" s="27">
        <f>IFERROR(INDEX(Données!F:F,MATCH($D$4&amp;"|"&amp;TEXT(B26,"aaaa-mm-jj"),Données!A:A,0)),0)</f>
        <v>0</v>
      </c>
      <c r="E26" s="68" t="str">
        <f>IFERROR(INDEX(Données!F:F,MATCH($E$4&amp;"|"&amp;TEXT(C26,"aaaa-mm-jj"),Données!A:A,0)),"")</f>
        <v/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45705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46069</v>
      </c>
      <c r="D27" s="27">
        <f>IFERROR(INDEX(Données!F:F,MATCH($D$4&amp;"|"&amp;TEXT(B27,"aaaa-mm-jj"),Données!A:A,0)),0)</f>
        <v>0</v>
      </c>
      <c r="E27" s="68" t="str">
        <f>IFERROR(INDEX(Données!F:F,MATCH($E$4&amp;"|"&amp;TEXT(C27,"aaaa-mm-jj"),Données!A:A,0)),"")</f>
        <v/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45706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46070</v>
      </c>
      <c r="D28" s="27">
        <f>IFERROR(INDEX(Données!F:F,MATCH($D$4&amp;"|"&amp;TEXT(B28,"aaaa-mm-jj"),Données!A:A,0)),0)</f>
        <v>671</v>
      </c>
      <c r="E28" s="68" t="str">
        <f>IFERROR(INDEX(Données!F:F,MATCH($E$4&amp;"|"&amp;TEXT(C28,"aaaa-mm-jj"),Données!A:A,0)),"")</f>
        <v/>
      </c>
      <c r="F28" s="3">
        <f t="shared" si="0"/>
        <v>0</v>
      </c>
      <c r="G28" s="4">
        <f t="shared" si="1"/>
        <v>0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45707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46071</v>
      </c>
      <c r="D29" s="27">
        <f>IFERROR(INDEX(Données!F:F,MATCH($D$4&amp;"|"&amp;TEXT(B29,"aaaa-mm-jj"),Données!A:A,0)),0)</f>
        <v>617</v>
      </c>
      <c r="E29" s="68" t="str">
        <f>IFERROR(INDEX(Données!F:F,MATCH($E$4&amp;"|"&amp;TEXT(C29,"aaaa-mm-jj"),Données!A:A,0)),"")</f>
        <v/>
      </c>
      <c r="F29" s="3">
        <f t="shared" si="0"/>
        <v>0</v>
      </c>
      <c r="G29" s="4">
        <f t="shared" si="1"/>
        <v>0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45708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46072</v>
      </c>
      <c r="D30" s="27">
        <f>IFERROR(INDEX(Données!F:F,MATCH($D$4&amp;"|"&amp;TEXT(B30,"aaaa-mm-jj"),Données!A:A,0)),0)</f>
        <v>514</v>
      </c>
      <c r="E30" s="68" t="str">
        <f>IFERROR(INDEX(Données!F:F,MATCH($E$4&amp;"|"&amp;TEXT(C30,"aaaa-mm-jj"),Données!A:A,0)),"")</f>
        <v/>
      </c>
      <c r="F30" s="3">
        <f t="shared" si="0"/>
        <v>0</v>
      </c>
      <c r="G30" s="4">
        <f t="shared" si="1"/>
        <v>0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45709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46073</v>
      </c>
      <c r="D31" s="27">
        <f>IFERROR(INDEX(Données!F:F,MATCH($D$4&amp;"|"&amp;TEXT(B31,"aaaa-mm-jj"),Données!A:A,0)),0)</f>
        <v>821</v>
      </c>
      <c r="E31" s="68" t="str">
        <f>IFERROR(INDEX(Données!F:F,MATCH($E$4&amp;"|"&amp;TEXT(C31,"aaaa-mm-jj"),Données!A:A,0)),"")</f>
        <v/>
      </c>
      <c r="F31" s="3">
        <f t="shared" si="0"/>
        <v>0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45710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46074</v>
      </c>
      <c r="D32" s="27">
        <f>IFERROR(INDEX(Données!F:F,MATCH($D$4&amp;"|"&amp;TEXT(B32,"aaaa-mm-jj"),Données!A:A,0)),0)</f>
        <v>361</v>
      </c>
      <c r="E32" s="68" t="str">
        <f>IFERROR(INDEX(Données!F:F,MATCH($E$4&amp;"|"&amp;TEXT(C32,"aaaa-mm-jj"),Données!A:A,0)),"")</f>
        <v/>
      </c>
      <c r="F32" s="3">
        <f t="shared" si="0"/>
        <v>0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45711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46075</v>
      </c>
      <c r="D33" s="27">
        <f>IFERROR(INDEX(Données!F:F,MATCH($D$4&amp;"|"&amp;TEXT(B33,"aaaa-mm-jj"),Données!A:A,0)),0)</f>
        <v>0</v>
      </c>
      <c r="E33" s="68" t="str">
        <f>IFERROR(INDEX(Données!F:F,MATCH($E$4&amp;"|"&amp;TEXT(C33,"aaaa-mm-jj"),Données!A:A,0)),"")</f>
        <v/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45712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46076</v>
      </c>
      <c r="D34" s="27">
        <f>IFERROR(INDEX(Données!F:F,MATCH($D$4&amp;"|"&amp;TEXT(B34,"aaaa-mm-jj"),Données!A:A,0)),0)</f>
        <v>0</v>
      </c>
      <c r="E34" s="68" t="str">
        <f>IFERROR(INDEX(Données!F:F,MATCH($E$4&amp;"|"&amp;TEXT(C34,"aaaa-mm-jj"),Données!A:A,0)),"")</f>
        <v/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45713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46077</v>
      </c>
      <c r="D35" s="27">
        <f>IFERROR(INDEX(Données!F:F,MATCH($D$4&amp;"|"&amp;TEXT(B35,"aaaa-mm-jj"),Données!A:A,0)),0)</f>
        <v>650</v>
      </c>
      <c r="E35" s="68" t="str">
        <f>IFERROR(INDEX(Données!F:F,MATCH($E$4&amp;"|"&amp;TEXT(C35,"aaaa-mm-jj"),Données!A:A,0)),"")</f>
        <v/>
      </c>
      <c r="F35" s="3">
        <f t="shared" si="0"/>
        <v>0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45714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46078</v>
      </c>
      <c r="D36" s="27">
        <f>IFERROR(INDEX(Données!F:F,MATCH($D$4&amp;"|"&amp;TEXT(B36,"aaaa-mm-jj"),Données!A:A,0)),0)</f>
        <v>855</v>
      </c>
      <c r="E36" s="68" t="str">
        <f>IFERROR(INDEX(Données!F:F,MATCH($E$4&amp;"|"&amp;TEXT(C36,"aaaa-mm-jj"),Données!A:A,0)),"")</f>
        <v/>
      </c>
      <c r="F36" s="3">
        <f t="shared" si="0"/>
        <v>0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45715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46079</v>
      </c>
      <c r="D37" s="27">
        <f>IFERROR(INDEX(Données!F:F,MATCH($D$4&amp;"|"&amp;TEXT(B37,"aaaa-mm-jj"),Données!A:A,0)),0)</f>
        <v>830</v>
      </c>
      <c r="E37" s="68" t="str">
        <f>IFERROR(INDEX(Données!F:F,MATCH($E$4&amp;"|"&amp;TEXT(C37,"aaaa-mm-jj"),Données!A:A,0)),"")</f>
        <v/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45716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46080</v>
      </c>
      <c r="D38" s="27">
        <f>IFERROR(INDEX(Données!F:F,MATCH($D$4&amp;"|"&amp;TEXT(B38,"aaaa-mm-jj"),Données!A:A,0)),0)</f>
        <v>941</v>
      </c>
      <c r="E38" s="68" t="str">
        <f>IFERROR(INDEX(Données!F:F,MATCH($E$4&amp;"|"&amp;TEXT(C38,"aaaa-mm-jj"),Données!A:A,0)),"")</f>
        <v/>
      </c>
      <c r="F38" s="3">
        <f t="shared" si="0"/>
        <v>0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45717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46081</v>
      </c>
      <c r="D39" s="27">
        <f>IFERROR(INDEX(Données!F:F,MATCH($D$4&amp;"|"&amp;TEXT(B39,"aaaa-mm-jj"),Données!A:A,0)),0)</f>
        <v>336.5</v>
      </c>
      <c r="E39" s="68" t="str">
        <f>IFERROR(INDEX(Données!F:F,MATCH($E$4&amp;"|"&amp;TEXT(C39,"aaaa-mm-jj"),Données!A:A,0)),"")</f>
        <v/>
      </c>
      <c r="F39" s="3">
        <f t="shared" si="0"/>
        <v>0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45718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46082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45719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46083</v>
      </c>
      <c r="D41" s="27">
        <f>IFERROR(INDEX(Données!F:F,MATCH($D$4&amp;"|"&amp;TEXT(B41,"aaaa-mm-jj"),Données!A:A,0)),0)</f>
        <v>0</v>
      </c>
      <c r="E41" s="68" t="str">
        <f>IFERROR(INDEX(Données!F:F,MATCH($E$4&amp;"|"&amp;TEXT(C41,"aaaa-mm-jj"),Données!A:A,0)),"")</f>
        <v/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45720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46084</v>
      </c>
      <c r="D42" s="27">
        <f>IFERROR(INDEX(Données!F:F,MATCH($D$4&amp;"|"&amp;TEXT(B42,"aaaa-mm-jj"),Données!A:A,0)),0)</f>
        <v>633</v>
      </c>
      <c r="E42" s="68" t="str">
        <f>IFERROR(INDEX(Données!F:F,MATCH($E$4&amp;"|"&amp;TEXT(C42,"aaaa-mm-jj"),Données!A:A,0)),"")</f>
        <v/>
      </c>
      <c r="F42" s="3">
        <f t="shared" si="0"/>
        <v>0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45721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46085</v>
      </c>
      <c r="D43" s="27">
        <f>IFERROR(INDEX(Données!F:F,MATCH($D$4&amp;"|"&amp;TEXT(B43,"aaaa-mm-jj"),Données!A:A,0)),0)</f>
        <v>720.4</v>
      </c>
      <c r="E43" s="68" t="str">
        <f>IFERROR(INDEX(Données!F:F,MATCH($E$4&amp;"|"&amp;TEXT(C43,"aaaa-mm-jj"),Données!A:A,0)),"")</f>
        <v/>
      </c>
      <c r="F43" s="3">
        <f t="shared" si="0"/>
        <v>0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46087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46088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46089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46090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46091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46092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46093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46094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46095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46096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13401.6</v>
      </c>
      <c r="E54" s="28">
        <f>SUMIFS(E:E, C:C, "&gt;="&amp;DATE(YEAR($M$2),MONTH($M$2),1), C:C, "&lt;"&amp;DATE(YEAR($M$2),MONTH($M$2)+1,1))</f>
        <v>0</v>
      </c>
      <c r="F54" s="29">
        <f>E54 - D54</f>
        <v>-13401.6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janvier!D56 + D54</f>
        <v>99296.900000000009</v>
      </c>
      <c r="E56" s="5">
        <f>janvier!E56 + E54</f>
        <v>78275.7</v>
      </c>
      <c r="F56" s="6">
        <f>E56-D56</f>
        <v>-21021.200000000012</v>
      </c>
      <c r="G56" s="7">
        <f>IFERROR((E56-D56)/D56,0)</f>
        <v>-0.21170046597627931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29" priority="5">
      <formula>$A5="lundi"</formula>
    </cfRule>
    <cfRule type="expression" dxfId="28" priority="6">
      <formula>$A5="dimanche"</formula>
    </cfRule>
  </conditionalFormatting>
  <conditionalFormatting sqref="C6:C53">
    <cfRule type="expression" dxfId="27" priority="4">
      <formula>MONTH($C6)&lt;&gt;MONTH($M$2)</formula>
    </cfRule>
  </conditionalFormatting>
  <conditionalFormatting sqref="B6:B53">
    <cfRule type="expression" dxfId="26" priority="3">
      <formula>MONTH($B6)&lt;&gt;MONTH($M$3)</formula>
    </cfRule>
  </conditionalFormatting>
  <conditionalFormatting sqref="E6:E53">
    <cfRule type="expression" dxfId="25" priority="2">
      <formula>MONTH($C6)&lt;&gt;MONTH($M$2)</formula>
    </cfRule>
  </conditionalFormatting>
  <conditionalFormatting sqref="D6:D53">
    <cfRule type="expression" dxfId="24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B0AFB26-C4AD-4ECD-B091-A67EE920D0D3}">
          <x14:formula1>
            <xm:f>Feuil1!$A$1:$A$19</xm:f>
          </x14:formula1>
          <xm:sqref>D4:E4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EDBDE-9866-4B64-8286-FC490A0AE9F6}">
  <sheetPr codeName="Feuil10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80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46082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45717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46076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45712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46076</v>
      </c>
      <c r="D6" s="27">
        <f>IFERROR(INDEX(Données!F:F,MATCH($D$4&amp;"|"&amp;TEXT(B6,"aaaa-mm-jj"),Données!A:A,0)),0)</f>
        <v>0</v>
      </c>
      <c r="E6" s="68" t="str">
        <f>IFERROR(INDEX(Données!F:F,MATCH($E$4&amp;"|"&amp;TEXT(C6,"aaaa-mm-jj"),Données!A:A,0)),"")</f>
        <v/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45713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46077</v>
      </c>
      <c r="D7" s="27">
        <f>IFERROR(INDEX(Données!F:F,MATCH($D$4&amp;"|"&amp;TEXT(B7,"aaaa-mm-jj"),Données!A:A,0)),0)</f>
        <v>650</v>
      </c>
      <c r="E7" s="68" t="str">
        <f>IFERROR(INDEX(Données!F:F,MATCH($E$4&amp;"|"&amp;TEXT(C7,"aaaa-mm-jj"),Données!A:A,0)),"")</f>
        <v/>
      </c>
      <c r="F7" s="3">
        <f t="shared" si="0"/>
        <v>0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45714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46078</v>
      </c>
      <c r="D8" s="27">
        <f>IFERROR(INDEX(Données!F:F,MATCH($D$4&amp;"|"&amp;TEXT(B8,"aaaa-mm-jj"),Données!A:A,0)),0)</f>
        <v>855</v>
      </c>
      <c r="E8" s="68" t="str">
        <f>IFERROR(INDEX(Données!F:F,MATCH($E$4&amp;"|"&amp;TEXT(C8,"aaaa-mm-jj"),Données!A:A,0)),"")</f>
        <v/>
      </c>
      <c r="F8" s="3">
        <f t="shared" si="0"/>
        <v>0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45715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46079</v>
      </c>
      <c r="D9" s="27">
        <f>IFERROR(INDEX(Données!F:F,MATCH($D$4&amp;"|"&amp;TEXT(B9,"aaaa-mm-jj"),Données!A:A,0)),0)</f>
        <v>830</v>
      </c>
      <c r="E9" s="68" t="str">
        <f>IFERROR(INDEX(Données!F:F,MATCH($E$4&amp;"|"&amp;TEXT(C9,"aaaa-mm-jj"),Données!A:A,0)),"")</f>
        <v/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45716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46080</v>
      </c>
      <c r="D10" s="27">
        <f>IFERROR(INDEX(Données!F:F,MATCH($D$4&amp;"|"&amp;TEXT(B10,"aaaa-mm-jj"),Données!A:A,0)),0)</f>
        <v>941</v>
      </c>
      <c r="E10" s="68" t="str">
        <f>IFERROR(INDEX(Données!F:F,MATCH($E$4&amp;"|"&amp;TEXT(C10,"aaaa-mm-jj"),Données!A:A,0)),"")</f>
        <v/>
      </c>
      <c r="F10" s="3">
        <f t="shared" si="0"/>
        <v>0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45717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46081</v>
      </c>
      <c r="D11" s="27">
        <f>IFERROR(INDEX(Données!F:F,MATCH($D$4&amp;"|"&amp;TEXT(B11,"aaaa-mm-jj"),Données!A:A,0)),0)</f>
        <v>336.5</v>
      </c>
      <c r="E11" s="68" t="str">
        <f>IFERROR(INDEX(Données!F:F,MATCH($E$4&amp;"|"&amp;TEXT(C11,"aaaa-mm-jj"),Données!A:A,0)),"")</f>
        <v/>
      </c>
      <c r="F11" s="3">
        <f t="shared" si="0"/>
        <v>0</v>
      </c>
      <c r="G11" s="4">
        <f t="shared" si="1"/>
        <v>0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45718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46082</v>
      </c>
      <c r="D12" s="27">
        <f>IFERROR(INDEX(Données!F:F,MATCH($D$4&amp;"|"&amp;TEXT(B12,"aaaa-mm-jj"),Données!A:A,0)),0)</f>
        <v>0</v>
      </c>
      <c r="E12" s="68" t="str">
        <f>IFERROR(INDEX(Données!F:F,MATCH($E$4&amp;"|"&amp;TEXT(C12,"aaaa-mm-jj"),Données!A:A,0)),"")</f>
        <v/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45719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46083</v>
      </c>
      <c r="D13" s="27">
        <f>IFERROR(INDEX(Données!F:F,MATCH($D$4&amp;"|"&amp;TEXT(B13,"aaaa-mm-jj"),Données!A:A,0)),0)</f>
        <v>0</v>
      </c>
      <c r="E13" s="68" t="str">
        <f>IFERROR(INDEX(Données!F:F,MATCH($E$4&amp;"|"&amp;TEXT(C13,"aaaa-mm-jj"),Données!A:A,0)),"")</f>
        <v/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45720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46084</v>
      </c>
      <c r="D14" s="27">
        <f>IFERROR(INDEX(Données!F:F,MATCH($D$4&amp;"|"&amp;TEXT(B14,"aaaa-mm-jj"),Données!A:A,0)),0)</f>
        <v>633</v>
      </c>
      <c r="E14" s="68" t="str">
        <f>IFERROR(INDEX(Données!F:F,MATCH($E$4&amp;"|"&amp;TEXT(C14,"aaaa-mm-jj"),Données!A:A,0)),"")</f>
        <v/>
      </c>
      <c r="F14" s="3">
        <f t="shared" si="0"/>
        <v>0</v>
      </c>
      <c r="G14" s="4">
        <f t="shared" si="1"/>
        <v>0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45721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46085</v>
      </c>
      <c r="D15" s="27">
        <f>IFERROR(INDEX(Données!F:F,MATCH($D$4&amp;"|"&amp;TEXT(B15,"aaaa-mm-jj"),Données!A:A,0)),0)</f>
        <v>720.4</v>
      </c>
      <c r="E15" s="68" t="str">
        <f>IFERROR(INDEX(Données!F:F,MATCH($E$4&amp;"|"&amp;TEXT(C15,"aaaa-mm-jj"),Données!A:A,0)),"")</f>
        <v/>
      </c>
      <c r="F15" s="3">
        <f t="shared" si="0"/>
        <v>0</v>
      </c>
      <c r="G15" s="4">
        <f t="shared" si="1"/>
        <v>0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45722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46086</v>
      </c>
      <c r="D16" s="27">
        <f>IFERROR(INDEX(Données!F:F,MATCH($D$4&amp;"|"&amp;TEXT(B16,"aaaa-mm-jj"),Données!A:A,0)),0)</f>
        <v>693</v>
      </c>
      <c r="E16" s="68" t="str">
        <f>IFERROR(INDEX(Données!F:F,MATCH($E$4&amp;"|"&amp;TEXT(C16,"aaaa-mm-jj"),Données!A:A,0)),"")</f>
        <v/>
      </c>
      <c r="F16" s="3">
        <f t="shared" si="0"/>
        <v>0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45723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46087</v>
      </c>
      <c r="D17" s="27">
        <f>IFERROR(INDEX(Données!F:F,MATCH($D$4&amp;"|"&amp;TEXT(B17,"aaaa-mm-jj"),Données!A:A,0)),0)</f>
        <v>656</v>
      </c>
      <c r="E17" s="68" t="str">
        <f>IFERROR(INDEX(Données!F:F,MATCH($E$4&amp;"|"&amp;TEXT(C17,"aaaa-mm-jj"),Données!A:A,0)),"")</f>
        <v/>
      </c>
      <c r="F17" s="3">
        <f t="shared" si="0"/>
        <v>0</v>
      </c>
      <c r="G17" s="4">
        <f t="shared" si="1"/>
        <v>0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45724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46088</v>
      </c>
      <c r="D18" s="27">
        <f>IFERROR(INDEX(Données!F:F,MATCH($D$4&amp;"|"&amp;TEXT(B18,"aaaa-mm-jj"),Données!A:A,0)),0)</f>
        <v>438</v>
      </c>
      <c r="E18" s="68" t="str">
        <f>IFERROR(INDEX(Données!F:F,MATCH($E$4&amp;"|"&amp;TEXT(C18,"aaaa-mm-jj"),Données!A:A,0)),"")</f>
        <v/>
      </c>
      <c r="F18" s="3">
        <f t="shared" si="0"/>
        <v>0</v>
      </c>
      <c r="G18" s="4">
        <f t="shared" si="1"/>
        <v>0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45725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46089</v>
      </c>
      <c r="D19" s="27">
        <f>IFERROR(INDEX(Données!F:F,MATCH($D$4&amp;"|"&amp;TEXT(B19,"aaaa-mm-jj"),Données!A:A,0)),0)</f>
        <v>0</v>
      </c>
      <c r="E19" s="68" t="str">
        <f>IFERROR(INDEX(Données!F:F,MATCH($E$4&amp;"|"&amp;TEXT(C19,"aaaa-mm-jj"),Données!A:A,0)),"")</f>
        <v/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45726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46090</v>
      </c>
      <c r="D20" s="27">
        <f>IFERROR(INDEX(Données!F:F,MATCH($D$4&amp;"|"&amp;TEXT(B20,"aaaa-mm-jj"),Données!A:A,0)),0)</f>
        <v>0</v>
      </c>
      <c r="E20" s="68" t="str">
        <f>IFERROR(INDEX(Données!F:F,MATCH($E$4&amp;"|"&amp;TEXT(C20,"aaaa-mm-jj"),Données!A:A,0)),"")</f>
        <v/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45727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46091</v>
      </c>
      <c r="D21" s="27">
        <f>IFERROR(INDEX(Données!F:F,MATCH($D$4&amp;"|"&amp;TEXT(B21,"aaaa-mm-jj"),Données!A:A,0)),0)</f>
        <v>0</v>
      </c>
      <c r="E21" s="68" t="str">
        <f>IFERROR(INDEX(Données!F:F,MATCH($E$4&amp;"|"&amp;TEXT(C21,"aaaa-mm-jj"),Données!A:A,0)),"")</f>
        <v/>
      </c>
      <c r="F21" s="3">
        <f t="shared" si="0"/>
        <v>0</v>
      </c>
      <c r="G21" s="4">
        <f t="shared" si="1"/>
        <v>0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45728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46092</v>
      </c>
      <c r="D22" s="27">
        <f>IFERROR(INDEX(Données!F:F,MATCH($D$4&amp;"|"&amp;TEXT(B22,"aaaa-mm-jj"),Données!A:A,0)),0)</f>
        <v>500</v>
      </c>
      <c r="E22" s="68" t="str">
        <f>IFERROR(INDEX(Données!F:F,MATCH($E$4&amp;"|"&amp;TEXT(C22,"aaaa-mm-jj"),Données!A:A,0)),"")</f>
        <v/>
      </c>
      <c r="F22" s="3">
        <f t="shared" si="0"/>
        <v>0</v>
      </c>
      <c r="G22" s="4">
        <f t="shared" si="1"/>
        <v>0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45729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46093</v>
      </c>
      <c r="D23" s="27">
        <f>IFERROR(INDEX(Données!F:F,MATCH($D$4&amp;"|"&amp;TEXT(B23,"aaaa-mm-jj"),Données!A:A,0)),0)</f>
        <v>475.4</v>
      </c>
      <c r="E23" s="68" t="str">
        <f>IFERROR(INDEX(Données!F:F,MATCH($E$4&amp;"|"&amp;TEXT(C23,"aaaa-mm-jj"),Données!A:A,0)),"")</f>
        <v/>
      </c>
      <c r="F23" s="3">
        <f t="shared" si="0"/>
        <v>0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45730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46094</v>
      </c>
      <c r="D24" s="27">
        <f>IFERROR(INDEX(Données!F:F,MATCH($D$4&amp;"|"&amp;TEXT(B24,"aaaa-mm-jj"),Données!A:A,0)),0)</f>
        <v>448</v>
      </c>
      <c r="E24" s="68" t="str">
        <f>IFERROR(INDEX(Données!F:F,MATCH($E$4&amp;"|"&amp;TEXT(C24,"aaaa-mm-jj"),Données!A:A,0)),"")</f>
        <v/>
      </c>
      <c r="F24" s="3">
        <f t="shared" si="0"/>
        <v>0</v>
      </c>
      <c r="G24" s="4">
        <f t="shared" si="1"/>
        <v>0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45731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46095</v>
      </c>
      <c r="D25" s="27">
        <f>IFERROR(INDEX(Données!F:F,MATCH($D$4&amp;"|"&amp;TEXT(B25,"aaaa-mm-jj"),Données!A:A,0)),0)</f>
        <v>423.4</v>
      </c>
      <c r="E25" s="68" t="str">
        <f>IFERROR(INDEX(Données!F:F,MATCH($E$4&amp;"|"&amp;TEXT(C25,"aaaa-mm-jj"),Données!A:A,0)),"")</f>
        <v/>
      </c>
      <c r="F25" s="3">
        <f t="shared" si="0"/>
        <v>0</v>
      </c>
      <c r="G25" s="4">
        <f t="shared" si="1"/>
        <v>0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45732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46096</v>
      </c>
      <c r="D26" s="27">
        <f>IFERROR(INDEX(Données!F:F,MATCH($D$4&amp;"|"&amp;TEXT(B26,"aaaa-mm-jj"),Données!A:A,0)),0)</f>
        <v>0</v>
      </c>
      <c r="E26" s="68" t="str">
        <f>IFERROR(INDEX(Données!F:F,MATCH($E$4&amp;"|"&amp;TEXT(C26,"aaaa-mm-jj"),Données!A:A,0)),"")</f>
        <v/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45733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46097</v>
      </c>
      <c r="D27" s="27">
        <f>IFERROR(INDEX(Données!F:F,MATCH($D$4&amp;"|"&amp;TEXT(B27,"aaaa-mm-jj"),Données!A:A,0)),0)</f>
        <v>0</v>
      </c>
      <c r="E27" s="68" t="str">
        <f>IFERROR(INDEX(Données!F:F,MATCH($E$4&amp;"|"&amp;TEXT(C27,"aaaa-mm-jj"),Données!A:A,0)),"")</f>
        <v/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45734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46098</v>
      </c>
      <c r="D28" s="27">
        <f>IFERROR(INDEX(Données!F:F,MATCH($D$4&amp;"|"&amp;TEXT(B28,"aaaa-mm-jj"),Données!A:A,0)),0)</f>
        <v>460</v>
      </c>
      <c r="E28" s="68" t="str">
        <f>IFERROR(INDEX(Données!F:F,MATCH($E$4&amp;"|"&amp;TEXT(C28,"aaaa-mm-jj"),Données!A:A,0)),"")</f>
        <v/>
      </c>
      <c r="F28" s="3">
        <f t="shared" si="0"/>
        <v>0</v>
      </c>
      <c r="G28" s="4">
        <f t="shared" si="1"/>
        <v>0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45735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46099</v>
      </c>
      <c r="D29" s="27">
        <f>IFERROR(INDEX(Données!F:F,MATCH($D$4&amp;"|"&amp;TEXT(B29,"aaaa-mm-jj"),Données!A:A,0)),0)</f>
        <v>534</v>
      </c>
      <c r="E29" s="68" t="str">
        <f>IFERROR(INDEX(Données!F:F,MATCH($E$4&amp;"|"&amp;TEXT(C29,"aaaa-mm-jj"),Données!A:A,0)),"")</f>
        <v/>
      </c>
      <c r="F29" s="3">
        <f t="shared" si="0"/>
        <v>0</v>
      </c>
      <c r="G29" s="4">
        <f t="shared" si="1"/>
        <v>0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45736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46100</v>
      </c>
      <c r="D30" s="27">
        <f>IFERROR(INDEX(Données!F:F,MATCH($D$4&amp;"|"&amp;TEXT(B30,"aaaa-mm-jj"),Données!A:A,0)),0)</f>
        <v>340</v>
      </c>
      <c r="E30" s="68" t="str">
        <f>IFERROR(INDEX(Données!F:F,MATCH($E$4&amp;"|"&amp;TEXT(C30,"aaaa-mm-jj"),Données!A:A,0)),"")</f>
        <v/>
      </c>
      <c r="F30" s="3">
        <f t="shared" si="0"/>
        <v>0</v>
      </c>
      <c r="G30" s="4">
        <f t="shared" si="1"/>
        <v>0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45737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46101</v>
      </c>
      <c r="D31" s="27">
        <f>IFERROR(INDEX(Données!F:F,MATCH($D$4&amp;"|"&amp;TEXT(B31,"aaaa-mm-jj"),Données!A:A,0)),0)</f>
        <v>428</v>
      </c>
      <c r="E31" s="68" t="str">
        <f>IFERROR(INDEX(Données!F:F,MATCH($E$4&amp;"|"&amp;TEXT(C31,"aaaa-mm-jj"),Données!A:A,0)),"")</f>
        <v/>
      </c>
      <c r="F31" s="3">
        <f t="shared" si="0"/>
        <v>0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45738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46102</v>
      </c>
      <c r="D32" s="27">
        <f>IFERROR(INDEX(Données!F:F,MATCH($D$4&amp;"|"&amp;TEXT(B32,"aaaa-mm-jj"),Données!A:A,0)),0)</f>
        <v>513</v>
      </c>
      <c r="E32" s="68" t="str">
        <f>IFERROR(INDEX(Données!F:F,MATCH($E$4&amp;"|"&amp;TEXT(C32,"aaaa-mm-jj"),Données!A:A,0)),"")</f>
        <v/>
      </c>
      <c r="F32" s="3">
        <f t="shared" si="0"/>
        <v>0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45739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46103</v>
      </c>
      <c r="D33" s="27">
        <f>IFERROR(INDEX(Données!F:F,MATCH($D$4&amp;"|"&amp;TEXT(B33,"aaaa-mm-jj"),Données!A:A,0)),0)</f>
        <v>0</v>
      </c>
      <c r="E33" s="68" t="str">
        <f>IFERROR(INDEX(Données!F:F,MATCH($E$4&amp;"|"&amp;TEXT(C33,"aaaa-mm-jj"),Données!A:A,0)),"")</f>
        <v/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45740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46104</v>
      </c>
      <c r="D34" s="27">
        <f>IFERROR(INDEX(Données!F:F,MATCH($D$4&amp;"|"&amp;TEXT(B34,"aaaa-mm-jj"),Données!A:A,0)),0)</f>
        <v>0</v>
      </c>
      <c r="E34" s="68" t="str">
        <f>IFERROR(INDEX(Données!F:F,MATCH($E$4&amp;"|"&amp;TEXT(C34,"aaaa-mm-jj"),Données!A:A,0)),"")</f>
        <v/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45741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46105</v>
      </c>
      <c r="D35" s="27">
        <f>IFERROR(INDEX(Données!F:F,MATCH($D$4&amp;"|"&amp;TEXT(B35,"aaaa-mm-jj"),Données!A:A,0)),0)</f>
        <v>523</v>
      </c>
      <c r="E35" s="68" t="str">
        <f>IFERROR(INDEX(Données!F:F,MATCH($E$4&amp;"|"&amp;TEXT(C35,"aaaa-mm-jj"),Données!A:A,0)),"")</f>
        <v/>
      </c>
      <c r="F35" s="3">
        <f t="shared" si="0"/>
        <v>0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45742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46106</v>
      </c>
      <c r="D36" s="27">
        <f>IFERROR(INDEX(Données!F:F,MATCH($D$4&amp;"|"&amp;TEXT(B36,"aaaa-mm-jj"),Données!A:A,0)),0)</f>
        <v>687</v>
      </c>
      <c r="E36" s="68" t="str">
        <f>IFERROR(INDEX(Données!F:F,MATCH($E$4&amp;"|"&amp;TEXT(C36,"aaaa-mm-jj"),Données!A:A,0)),"")</f>
        <v/>
      </c>
      <c r="F36" s="3">
        <f t="shared" si="0"/>
        <v>0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45743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46107</v>
      </c>
      <c r="D37" s="27">
        <f>IFERROR(INDEX(Données!F:F,MATCH($D$4&amp;"|"&amp;TEXT(B37,"aaaa-mm-jj"),Données!A:A,0)),0)</f>
        <v>615</v>
      </c>
      <c r="E37" s="68" t="str">
        <f>IFERROR(INDEX(Données!F:F,MATCH($E$4&amp;"|"&amp;TEXT(C37,"aaaa-mm-jj"),Données!A:A,0)),"")</f>
        <v/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45744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46108</v>
      </c>
      <c r="D38" s="27">
        <f>IFERROR(INDEX(Données!F:F,MATCH($D$4&amp;"|"&amp;TEXT(B38,"aaaa-mm-jj"),Données!A:A,0)),0)</f>
        <v>751</v>
      </c>
      <c r="E38" s="68" t="str">
        <f>IFERROR(INDEX(Données!F:F,MATCH($E$4&amp;"|"&amp;TEXT(C38,"aaaa-mm-jj"),Données!A:A,0)),"")</f>
        <v/>
      </c>
      <c r="F38" s="3">
        <f t="shared" si="0"/>
        <v>0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45745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46109</v>
      </c>
      <c r="D39" s="27">
        <f>IFERROR(INDEX(Données!F:F,MATCH($D$4&amp;"|"&amp;TEXT(B39,"aaaa-mm-jj"),Données!A:A,0)),0)</f>
        <v>379</v>
      </c>
      <c r="E39" s="68" t="str">
        <f>IFERROR(INDEX(Données!F:F,MATCH($E$4&amp;"|"&amp;TEXT(C39,"aaaa-mm-jj"),Données!A:A,0)),"")</f>
        <v/>
      </c>
      <c r="F39" s="3">
        <f t="shared" si="0"/>
        <v>0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45746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46110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45747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46111</v>
      </c>
      <c r="D41" s="27">
        <f>IFERROR(INDEX(Données!F:F,MATCH($D$4&amp;"|"&amp;TEXT(B41,"aaaa-mm-jj"),Données!A:A,0)),0)</f>
        <v>0</v>
      </c>
      <c r="E41" s="68" t="str">
        <f>IFERROR(INDEX(Données!F:F,MATCH($E$4&amp;"|"&amp;TEXT(C41,"aaaa-mm-jj"),Données!A:A,0)),"")</f>
        <v/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45748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46112</v>
      </c>
      <c r="D42" s="27">
        <f>IFERROR(INDEX(Données!F:F,MATCH($D$4&amp;"|"&amp;TEXT(B42,"aaaa-mm-jj"),Données!A:A,0)),0)</f>
        <v>451</v>
      </c>
      <c r="E42" s="68" t="str">
        <f>IFERROR(INDEX(Données!F:F,MATCH($E$4&amp;"|"&amp;TEXT(C42,"aaaa-mm-jj"),Données!A:A,0)),"")</f>
        <v/>
      </c>
      <c r="F42" s="3">
        <f t="shared" si="0"/>
        <v>0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45749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46113</v>
      </c>
      <c r="D43" s="27">
        <f>IFERROR(INDEX(Données!F:F,MATCH($D$4&amp;"|"&amp;TEXT(B43,"aaaa-mm-jj"),Données!A:A,0)),0)</f>
        <v>847</v>
      </c>
      <c r="E43" s="68" t="str">
        <f>IFERROR(INDEX(Données!F:F,MATCH($E$4&amp;"|"&amp;TEXT(C43,"aaaa-mm-jj"),Données!A:A,0)),"")</f>
        <v/>
      </c>
      <c r="F43" s="3">
        <f t="shared" si="0"/>
        <v>0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46115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46116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46117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46118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46119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46120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46121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46122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46123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46124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10553.7</v>
      </c>
      <c r="E54" s="28">
        <f>SUMIFS(E:E, C:C, "&gt;="&amp;DATE(YEAR($M$2),MONTH($M$2),1), C:C, "&lt;"&amp;DATE(YEAR($M$2),MONTH($M$2)+1,1))</f>
        <v>0</v>
      </c>
      <c r="F54" s="29">
        <f>E54 - D54</f>
        <v>-10553.7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février!D56 + D54</f>
        <v>109850.6</v>
      </c>
      <c r="E56" s="5">
        <f>février!E56 + E54</f>
        <v>78275.7</v>
      </c>
      <c r="F56" s="6">
        <f>E56-D56</f>
        <v>-31574.900000000009</v>
      </c>
      <c r="G56" s="7">
        <f>IFERROR((E56-D56)/D56,0)</f>
        <v>-0.28743493435629852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23" priority="5">
      <formula>$A5="lundi"</formula>
    </cfRule>
    <cfRule type="expression" dxfId="22" priority="6">
      <formula>$A5="dimanche"</formula>
    </cfRule>
  </conditionalFormatting>
  <conditionalFormatting sqref="C6:C53">
    <cfRule type="expression" dxfId="21" priority="4">
      <formula>MONTH($C6)&lt;&gt;MONTH($M$2)</formula>
    </cfRule>
  </conditionalFormatting>
  <conditionalFormatting sqref="B6:B53">
    <cfRule type="expression" dxfId="20" priority="3">
      <formula>MONTH($B6)&lt;&gt;MONTH($M$3)</formula>
    </cfRule>
  </conditionalFormatting>
  <conditionalFormatting sqref="E6:E53">
    <cfRule type="expression" dxfId="19" priority="2">
      <formula>MONTH($C6)&lt;&gt;MONTH($M$2)</formula>
    </cfRule>
  </conditionalFormatting>
  <conditionalFormatting sqref="D6:D53">
    <cfRule type="expression" dxfId="18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C79C2B1-8914-4F0E-83BA-2F9B93CEF133}">
          <x14:formula1>
            <xm:f>Feuil1!$A$1:$A$19</xm:f>
          </x14:formula1>
          <xm:sqref>D4:E4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2C39F-0AC1-461F-9683-13678F252E13}">
  <sheetPr codeName="Feuil11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6" width="12.77734375" customWidth="1"/>
    <col min="7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112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46113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45748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46111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45747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46111</v>
      </c>
      <c r="D6" s="27">
        <f>IFERROR(INDEX(Données!F:F,MATCH($D$4&amp;"|"&amp;TEXT(B6,"aaaa-mm-jj"),Données!A:A,0)),0)</f>
        <v>0</v>
      </c>
      <c r="E6" s="68" t="str">
        <f>IFERROR(INDEX(Données!F:F,MATCH($E$4&amp;"|"&amp;TEXT(C6,"aaaa-mm-jj"),Données!A:A,0)),"")</f>
        <v/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45748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46112</v>
      </c>
      <c r="D7" s="27">
        <f>IFERROR(INDEX(Données!F:F,MATCH($D$4&amp;"|"&amp;TEXT(B7,"aaaa-mm-jj"),Données!A:A,0)),0)</f>
        <v>451</v>
      </c>
      <c r="E7" s="68" t="str">
        <f>IFERROR(INDEX(Données!F:F,MATCH($E$4&amp;"|"&amp;TEXT(C7,"aaaa-mm-jj"),Données!A:A,0)),"")</f>
        <v/>
      </c>
      <c r="F7" s="3">
        <f t="shared" si="0"/>
        <v>0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45749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46113</v>
      </c>
      <c r="D8" s="27">
        <f>IFERROR(INDEX(Données!F:F,MATCH($D$4&amp;"|"&amp;TEXT(B8,"aaaa-mm-jj"),Données!A:A,0)),0)</f>
        <v>847</v>
      </c>
      <c r="E8" s="68" t="str">
        <f>IFERROR(INDEX(Données!F:F,MATCH($E$4&amp;"|"&amp;TEXT(C8,"aaaa-mm-jj"),Données!A:A,0)),"")</f>
        <v/>
      </c>
      <c r="F8" s="3">
        <f t="shared" si="0"/>
        <v>0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45750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46114</v>
      </c>
      <c r="D9" s="27">
        <f>IFERROR(INDEX(Données!F:F,MATCH($D$4&amp;"|"&amp;TEXT(B9,"aaaa-mm-jj"),Données!A:A,0)),0)</f>
        <v>645</v>
      </c>
      <c r="E9" s="68" t="str">
        <f>IFERROR(INDEX(Données!F:F,MATCH($E$4&amp;"|"&amp;TEXT(C9,"aaaa-mm-jj"),Données!A:A,0)),"")</f>
        <v/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45751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46115</v>
      </c>
      <c r="D10" s="27">
        <f>IFERROR(INDEX(Données!F:F,MATCH($D$4&amp;"|"&amp;TEXT(B10,"aaaa-mm-jj"),Données!A:A,0)),0)</f>
        <v>696</v>
      </c>
      <c r="E10" s="68" t="str">
        <f>IFERROR(INDEX(Données!F:F,MATCH($E$4&amp;"|"&amp;TEXT(C10,"aaaa-mm-jj"),Données!A:A,0)),"")</f>
        <v/>
      </c>
      <c r="F10" s="3">
        <f t="shared" si="0"/>
        <v>0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45752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46116</v>
      </c>
      <c r="D11" s="27">
        <f>IFERROR(INDEX(Données!F:F,MATCH($D$4&amp;"|"&amp;TEXT(B11,"aaaa-mm-jj"),Données!A:A,0)),0)</f>
        <v>155</v>
      </c>
      <c r="E11" s="68" t="str">
        <f>IFERROR(INDEX(Données!F:F,MATCH($E$4&amp;"|"&amp;TEXT(C11,"aaaa-mm-jj"),Données!A:A,0)),"")</f>
        <v/>
      </c>
      <c r="F11" s="3">
        <f t="shared" si="0"/>
        <v>0</v>
      </c>
      <c r="G11" s="4">
        <f t="shared" si="1"/>
        <v>0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45753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46117</v>
      </c>
      <c r="D12" s="27">
        <f>IFERROR(INDEX(Données!F:F,MATCH($D$4&amp;"|"&amp;TEXT(B12,"aaaa-mm-jj"),Données!A:A,0)),0)</f>
        <v>0</v>
      </c>
      <c r="E12" s="68" t="str">
        <f>IFERROR(INDEX(Données!F:F,MATCH($E$4&amp;"|"&amp;TEXT(C12,"aaaa-mm-jj"),Données!A:A,0)),"")</f>
        <v/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45754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46118</v>
      </c>
      <c r="D13" s="27">
        <f>IFERROR(INDEX(Données!F:F,MATCH($D$4&amp;"|"&amp;TEXT(B13,"aaaa-mm-jj"),Données!A:A,0)),0)</f>
        <v>0</v>
      </c>
      <c r="E13" s="68" t="str">
        <f>IFERROR(INDEX(Données!F:F,MATCH($E$4&amp;"|"&amp;TEXT(C13,"aaaa-mm-jj"),Données!A:A,0)),"")</f>
        <v/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45755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46119</v>
      </c>
      <c r="D14" s="27">
        <f>IFERROR(INDEX(Données!F:F,MATCH($D$4&amp;"|"&amp;TEXT(B14,"aaaa-mm-jj"),Données!A:A,0)),0)</f>
        <v>655</v>
      </c>
      <c r="E14" s="68" t="str">
        <f>IFERROR(INDEX(Données!F:F,MATCH($E$4&amp;"|"&amp;TEXT(C14,"aaaa-mm-jj"),Données!A:A,0)),"")</f>
        <v/>
      </c>
      <c r="F14" s="3">
        <f t="shared" si="0"/>
        <v>0</v>
      </c>
      <c r="G14" s="4">
        <f t="shared" si="1"/>
        <v>0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45756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46120</v>
      </c>
      <c r="D15" s="27">
        <f>IFERROR(INDEX(Données!F:F,MATCH($D$4&amp;"|"&amp;TEXT(B15,"aaaa-mm-jj"),Données!A:A,0)),0)</f>
        <v>706</v>
      </c>
      <c r="E15" s="68" t="str">
        <f>IFERROR(INDEX(Données!F:F,MATCH($E$4&amp;"|"&amp;TEXT(C15,"aaaa-mm-jj"),Données!A:A,0)),"")</f>
        <v/>
      </c>
      <c r="F15" s="3">
        <f t="shared" si="0"/>
        <v>0</v>
      </c>
      <c r="G15" s="4">
        <f t="shared" si="1"/>
        <v>0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45757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46121</v>
      </c>
      <c r="D16" s="27">
        <f>IFERROR(INDEX(Données!F:F,MATCH($D$4&amp;"|"&amp;TEXT(B16,"aaaa-mm-jj"),Données!A:A,0)),0)</f>
        <v>752.4</v>
      </c>
      <c r="E16" s="68" t="str">
        <f>IFERROR(INDEX(Données!F:F,MATCH($E$4&amp;"|"&amp;TEXT(C16,"aaaa-mm-jj"),Données!A:A,0)),"")</f>
        <v/>
      </c>
      <c r="F16" s="3">
        <f t="shared" si="0"/>
        <v>0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45758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46122</v>
      </c>
      <c r="D17" s="27">
        <f>IFERROR(INDEX(Données!F:F,MATCH($D$4&amp;"|"&amp;TEXT(B17,"aaaa-mm-jj"),Données!A:A,0)),0)</f>
        <v>1010</v>
      </c>
      <c r="E17" s="68" t="str">
        <f>IFERROR(INDEX(Données!F:F,MATCH($E$4&amp;"|"&amp;TEXT(C17,"aaaa-mm-jj"),Données!A:A,0)),"")</f>
        <v/>
      </c>
      <c r="F17" s="3">
        <f t="shared" si="0"/>
        <v>0</v>
      </c>
      <c r="G17" s="4">
        <f t="shared" si="1"/>
        <v>0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45759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46123</v>
      </c>
      <c r="D18" s="27">
        <f>IFERROR(INDEX(Données!F:F,MATCH($D$4&amp;"|"&amp;TEXT(B18,"aaaa-mm-jj"),Données!A:A,0)),0)</f>
        <v>250</v>
      </c>
      <c r="E18" s="68" t="str">
        <f>IFERROR(INDEX(Données!F:F,MATCH($E$4&amp;"|"&amp;TEXT(C18,"aaaa-mm-jj"),Données!A:A,0)),"")</f>
        <v/>
      </c>
      <c r="F18" s="3">
        <f t="shared" si="0"/>
        <v>0</v>
      </c>
      <c r="G18" s="4">
        <f t="shared" si="1"/>
        <v>0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45760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46124</v>
      </c>
      <c r="D19" s="27">
        <f>IFERROR(INDEX(Données!F:F,MATCH($D$4&amp;"|"&amp;TEXT(B19,"aaaa-mm-jj"),Données!A:A,0)),0)</f>
        <v>0</v>
      </c>
      <c r="E19" s="68" t="str">
        <f>IFERROR(INDEX(Données!F:F,MATCH($E$4&amp;"|"&amp;TEXT(C19,"aaaa-mm-jj"),Données!A:A,0)),"")</f>
        <v/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45761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46125</v>
      </c>
      <c r="D20" s="27">
        <f>IFERROR(INDEX(Données!F:F,MATCH($D$4&amp;"|"&amp;TEXT(B20,"aaaa-mm-jj"),Données!A:A,0)),0)</f>
        <v>0</v>
      </c>
      <c r="E20" s="68" t="str">
        <f>IFERROR(INDEX(Données!F:F,MATCH($E$4&amp;"|"&amp;TEXT(C20,"aaaa-mm-jj"),Données!A:A,0)),"")</f>
        <v/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45762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46126</v>
      </c>
      <c r="D21" s="27">
        <f>IFERROR(INDEX(Données!F:F,MATCH($D$4&amp;"|"&amp;TEXT(B21,"aaaa-mm-jj"),Données!A:A,0)),0)</f>
        <v>384</v>
      </c>
      <c r="E21" s="68" t="str">
        <f>IFERROR(INDEX(Données!F:F,MATCH($E$4&amp;"|"&amp;TEXT(C21,"aaaa-mm-jj"),Données!A:A,0)),"")</f>
        <v/>
      </c>
      <c r="F21" s="3">
        <f t="shared" si="0"/>
        <v>0</v>
      </c>
      <c r="G21" s="4">
        <f t="shared" si="1"/>
        <v>0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45763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46127</v>
      </c>
      <c r="D22" s="27">
        <f>IFERROR(INDEX(Données!F:F,MATCH($D$4&amp;"|"&amp;TEXT(B22,"aaaa-mm-jj"),Données!A:A,0)),0)</f>
        <v>911</v>
      </c>
      <c r="E22" s="68" t="str">
        <f>IFERROR(INDEX(Données!F:F,MATCH($E$4&amp;"|"&amp;TEXT(C22,"aaaa-mm-jj"),Données!A:A,0)),"")</f>
        <v/>
      </c>
      <c r="F22" s="3">
        <f t="shared" si="0"/>
        <v>0</v>
      </c>
      <c r="G22" s="4">
        <f t="shared" si="1"/>
        <v>0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45764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46128</v>
      </c>
      <c r="D23" s="27">
        <f>IFERROR(INDEX(Données!F:F,MATCH($D$4&amp;"|"&amp;TEXT(B23,"aaaa-mm-jj"),Données!A:A,0)),0)</f>
        <v>733</v>
      </c>
      <c r="E23" s="68" t="str">
        <f>IFERROR(INDEX(Données!F:F,MATCH($E$4&amp;"|"&amp;TEXT(C23,"aaaa-mm-jj"),Données!A:A,0)),"")</f>
        <v/>
      </c>
      <c r="F23" s="3">
        <f t="shared" si="0"/>
        <v>0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45765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46129</v>
      </c>
      <c r="D24" s="27">
        <f>IFERROR(INDEX(Données!F:F,MATCH($D$4&amp;"|"&amp;TEXT(B24,"aaaa-mm-jj"),Données!A:A,0)),0)</f>
        <v>665</v>
      </c>
      <c r="E24" s="68" t="str">
        <f>IFERROR(INDEX(Données!F:F,MATCH($E$4&amp;"|"&amp;TEXT(C24,"aaaa-mm-jj"),Données!A:A,0)),"")</f>
        <v/>
      </c>
      <c r="F24" s="3">
        <f t="shared" si="0"/>
        <v>0</v>
      </c>
      <c r="G24" s="4">
        <f t="shared" si="1"/>
        <v>0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45766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46130</v>
      </c>
      <c r="D25" s="27">
        <f>IFERROR(INDEX(Données!F:F,MATCH($D$4&amp;"|"&amp;TEXT(B25,"aaaa-mm-jj"),Données!A:A,0)),0)</f>
        <v>274</v>
      </c>
      <c r="E25" s="68" t="str">
        <f>IFERROR(INDEX(Données!F:F,MATCH($E$4&amp;"|"&amp;TEXT(C25,"aaaa-mm-jj"),Données!A:A,0)),"")</f>
        <v/>
      </c>
      <c r="F25" s="3">
        <f t="shared" si="0"/>
        <v>0</v>
      </c>
      <c r="G25" s="4">
        <f t="shared" si="1"/>
        <v>0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45767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46131</v>
      </c>
      <c r="D26" s="27">
        <f>IFERROR(INDEX(Données!F:F,MATCH($D$4&amp;"|"&amp;TEXT(B26,"aaaa-mm-jj"),Données!A:A,0)),0)</f>
        <v>0</v>
      </c>
      <c r="E26" s="68" t="str">
        <f>IFERROR(INDEX(Données!F:F,MATCH($E$4&amp;"|"&amp;TEXT(C26,"aaaa-mm-jj"),Données!A:A,0)),"")</f>
        <v/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45768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46132</v>
      </c>
      <c r="D27" s="27">
        <f>IFERROR(INDEX(Données!F:F,MATCH($D$4&amp;"|"&amp;TEXT(B27,"aaaa-mm-jj"),Données!A:A,0)),0)</f>
        <v>0</v>
      </c>
      <c r="E27" s="68" t="str">
        <f>IFERROR(INDEX(Données!F:F,MATCH($E$4&amp;"|"&amp;TEXT(C27,"aaaa-mm-jj"),Données!A:A,0)),"")</f>
        <v/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45769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46133</v>
      </c>
      <c r="D28" s="27">
        <f>IFERROR(INDEX(Données!F:F,MATCH($D$4&amp;"|"&amp;TEXT(B28,"aaaa-mm-jj"),Données!A:A,0)),0)</f>
        <v>727</v>
      </c>
      <c r="E28" s="68" t="str">
        <f>IFERROR(INDEX(Données!F:F,MATCH($E$4&amp;"|"&amp;TEXT(C28,"aaaa-mm-jj"),Données!A:A,0)),"")</f>
        <v/>
      </c>
      <c r="F28" s="3">
        <f t="shared" si="0"/>
        <v>0</v>
      </c>
      <c r="G28" s="4">
        <f t="shared" si="1"/>
        <v>0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45770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46134</v>
      </c>
      <c r="D29" s="27">
        <f>IFERROR(INDEX(Données!F:F,MATCH($D$4&amp;"|"&amp;TEXT(B29,"aaaa-mm-jj"),Données!A:A,0)),0)</f>
        <v>329.4</v>
      </c>
      <c r="E29" s="68" t="str">
        <f>IFERROR(INDEX(Données!F:F,MATCH($E$4&amp;"|"&amp;TEXT(C29,"aaaa-mm-jj"),Données!A:A,0)),"")</f>
        <v/>
      </c>
      <c r="F29" s="3">
        <f t="shared" si="0"/>
        <v>0</v>
      </c>
      <c r="G29" s="4">
        <f t="shared" si="1"/>
        <v>0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45771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46135</v>
      </c>
      <c r="D30" s="27">
        <f>IFERROR(INDEX(Données!F:F,MATCH($D$4&amp;"|"&amp;TEXT(B30,"aaaa-mm-jj"),Données!A:A,0)),0)</f>
        <v>511</v>
      </c>
      <c r="E30" s="68" t="str">
        <f>IFERROR(INDEX(Données!F:F,MATCH($E$4&amp;"|"&amp;TEXT(C30,"aaaa-mm-jj"),Données!A:A,0)),"")</f>
        <v/>
      </c>
      <c r="F30" s="3">
        <f t="shared" si="0"/>
        <v>0</v>
      </c>
      <c r="G30" s="4">
        <f t="shared" si="1"/>
        <v>0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45772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46136</v>
      </c>
      <c r="D31" s="27">
        <f>IFERROR(INDEX(Données!F:F,MATCH($D$4&amp;"|"&amp;TEXT(B31,"aaaa-mm-jj"),Données!A:A,0)),0)</f>
        <v>873</v>
      </c>
      <c r="E31" s="68" t="str">
        <f>IFERROR(INDEX(Données!F:F,MATCH($E$4&amp;"|"&amp;TEXT(C31,"aaaa-mm-jj"),Données!A:A,0)),"")</f>
        <v/>
      </c>
      <c r="F31" s="3">
        <f t="shared" si="0"/>
        <v>0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45773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46137</v>
      </c>
      <c r="D32" s="27">
        <f>IFERROR(INDEX(Données!F:F,MATCH($D$4&amp;"|"&amp;TEXT(B32,"aaaa-mm-jj"),Données!A:A,0)),0)</f>
        <v>313</v>
      </c>
      <c r="E32" s="68" t="str">
        <f>IFERROR(INDEX(Données!F:F,MATCH($E$4&amp;"|"&amp;TEXT(C32,"aaaa-mm-jj"),Données!A:A,0)),"")</f>
        <v/>
      </c>
      <c r="F32" s="3">
        <f t="shared" si="0"/>
        <v>0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45774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46138</v>
      </c>
      <c r="D33" s="27">
        <f>IFERROR(INDEX(Données!F:F,MATCH($D$4&amp;"|"&amp;TEXT(B33,"aaaa-mm-jj"),Données!A:A,0)),0)</f>
        <v>0</v>
      </c>
      <c r="E33" s="68" t="str">
        <f>IFERROR(INDEX(Données!F:F,MATCH($E$4&amp;"|"&amp;TEXT(C33,"aaaa-mm-jj"),Données!A:A,0)),"")</f>
        <v/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45775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46139</v>
      </c>
      <c r="D34" s="27">
        <f>IFERROR(INDEX(Données!F:F,MATCH($D$4&amp;"|"&amp;TEXT(B34,"aaaa-mm-jj"),Données!A:A,0)),0)</f>
        <v>0</v>
      </c>
      <c r="E34" s="68" t="str">
        <f>IFERROR(INDEX(Données!F:F,MATCH($E$4&amp;"|"&amp;TEXT(C34,"aaaa-mm-jj"),Données!A:A,0)),"")</f>
        <v/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45776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46140</v>
      </c>
      <c r="D35" s="27">
        <f>IFERROR(INDEX(Données!F:F,MATCH($D$4&amp;"|"&amp;TEXT(B35,"aaaa-mm-jj"),Données!A:A,0)),0)</f>
        <v>857</v>
      </c>
      <c r="E35" s="68" t="str">
        <f>IFERROR(INDEX(Données!F:F,MATCH($E$4&amp;"|"&amp;TEXT(C35,"aaaa-mm-jj"),Données!A:A,0)),"")</f>
        <v/>
      </c>
      <c r="F35" s="3">
        <f t="shared" si="0"/>
        <v>0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45777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46141</v>
      </c>
      <c r="D36" s="27">
        <f>IFERROR(INDEX(Données!F:F,MATCH($D$4&amp;"|"&amp;TEXT(B36,"aaaa-mm-jj"),Données!A:A,0)),0)</f>
        <v>1129.9000000000001</v>
      </c>
      <c r="E36" s="68" t="str">
        <f>IFERROR(INDEX(Données!F:F,MATCH($E$4&amp;"|"&amp;TEXT(C36,"aaaa-mm-jj"),Données!A:A,0)),"")</f>
        <v/>
      </c>
      <c r="F36" s="3">
        <f t="shared" si="0"/>
        <v>0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45778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46142</v>
      </c>
      <c r="D37" s="27">
        <f>IFERROR(INDEX(Données!F:F,MATCH($D$4&amp;"|"&amp;TEXT(B37,"aaaa-mm-jj"),Données!A:A,0)),0)</f>
        <v>0</v>
      </c>
      <c r="E37" s="68" t="str">
        <f>IFERROR(INDEX(Données!F:F,MATCH($E$4&amp;"|"&amp;TEXT(C37,"aaaa-mm-jj"),Données!A:A,0)),"")</f>
        <v/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45779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46143</v>
      </c>
      <c r="D38" s="27">
        <f>IFERROR(INDEX(Données!F:F,MATCH($D$4&amp;"|"&amp;TEXT(B38,"aaaa-mm-jj"),Données!A:A,0)),0)</f>
        <v>439.4</v>
      </c>
      <c r="E38" s="68" t="str">
        <f>IFERROR(INDEX(Données!F:F,MATCH($E$4&amp;"|"&amp;TEXT(C38,"aaaa-mm-jj"),Données!A:A,0)),"")</f>
        <v/>
      </c>
      <c r="F38" s="3">
        <f t="shared" si="0"/>
        <v>0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45780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46144</v>
      </c>
      <c r="D39" s="27">
        <f>IFERROR(INDEX(Données!F:F,MATCH($D$4&amp;"|"&amp;TEXT(B39,"aaaa-mm-jj"),Données!A:A,0)),0)</f>
        <v>368</v>
      </c>
      <c r="E39" s="68" t="str">
        <f>IFERROR(INDEX(Données!F:F,MATCH($E$4&amp;"|"&amp;TEXT(C39,"aaaa-mm-jj"),Données!A:A,0)),"")</f>
        <v/>
      </c>
      <c r="F39" s="3">
        <f t="shared" si="0"/>
        <v>0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45781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46145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45782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46146</v>
      </c>
      <c r="D41" s="27">
        <f>IFERROR(INDEX(Données!F:F,MATCH($D$4&amp;"|"&amp;TEXT(B41,"aaaa-mm-jj"),Données!A:A,0)),0)</f>
        <v>0</v>
      </c>
      <c r="E41" s="68" t="str">
        <f>IFERROR(INDEX(Données!F:F,MATCH($E$4&amp;"|"&amp;TEXT(C41,"aaaa-mm-jj"),Données!A:A,0)),"")</f>
        <v/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45783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46147</v>
      </c>
      <c r="D42" s="27">
        <f>IFERROR(INDEX(Données!F:F,MATCH($D$4&amp;"|"&amp;TEXT(B42,"aaaa-mm-jj"),Données!A:A,0)),0)</f>
        <v>849</v>
      </c>
      <c r="E42" s="68" t="str">
        <f>IFERROR(INDEX(Données!F:F,MATCH($E$4&amp;"|"&amp;TEXT(C42,"aaaa-mm-jj"),Données!A:A,0)),"")</f>
        <v/>
      </c>
      <c r="F42" s="3">
        <f t="shared" si="0"/>
        <v>0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45784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46148</v>
      </c>
      <c r="D43" s="27">
        <f>IFERROR(INDEX(Données!F:F,MATCH($D$4&amp;"|"&amp;TEXT(B43,"aaaa-mm-jj"),Données!A:A,0)),0)</f>
        <v>607</v>
      </c>
      <c r="E43" s="68" t="str">
        <f>IFERROR(INDEX(Données!F:F,MATCH($E$4&amp;"|"&amp;TEXT(C43,"aaaa-mm-jj"),Données!A:A,0)),"")</f>
        <v/>
      </c>
      <c r="F43" s="3">
        <f t="shared" si="0"/>
        <v>0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46150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46151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46152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46153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46154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46155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46156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46157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46158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46159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13874.699999999999</v>
      </c>
      <c r="E54" s="28">
        <f>SUMIFS(E:E, C:C, "&gt;="&amp;DATE(YEAR($M$2),MONTH($M$2),1), C:C, "&lt;"&amp;DATE(YEAR($M$2),MONTH($M$2)+1,1))</f>
        <v>0</v>
      </c>
      <c r="F54" s="29">
        <f>E54 - D54</f>
        <v>-13874.699999999999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mars!D56 + D54</f>
        <v>123725.3</v>
      </c>
      <c r="E56" s="5">
        <f>mars!E56 + E54</f>
        <v>78275.7</v>
      </c>
      <c r="F56" s="6">
        <f>E56-D56</f>
        <v>-45449.600000000006</v>
      </c>
      <c r="G56" s="7">
        <f>IFERROR((E56-D56)/D56,0)</f>
        <v>-0.36734281509117378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17" priority="5">
      <formula>$A5="lundi"</formula>
    </cfRule>
    <cfRule type="expression" dxfId="16" priority="6">
      <formula>$A5="dimanche"</formula>
    </cfRule>
  </conditionalFormatting>
  <conditionalFormatting sqref="C6:C53">
    <cfRule type="expression" dxfId="15" priority="4">
      <formula>MONTH($C6)&lt;&gt;MONTH($M$2)</formula>
    </cfRule>
  </conditionalFormatting>
  <conditionalFormatting sqref="B6:B53">
    <cfRule type="expression" dxfId="14" priority="3">
      <formula>MONTH($B6)&lt;&gt;MONTH($M$3)</formula>
    </cfRule>
  </conditionalFormatting>
  <conditionalFormatting sqref="E6:E53">
    <cfRule type="expression" dxfId="13" priority="2">
      <formula>MONTH($C6)&lt;&gt;MONTH($M$2)</formula>
    </cfRule>
  </conditionalFormatting>
  <conditionalFormatting sqref="D6:D53">
    <cfRule type="expression" dxfId="12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2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3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4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5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6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7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8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46084F5-6F7D-4AF6-8099-B4B116492F11}">
          <x14:formula1>
            <xm:f>Feuil1!$A$1:$A$19</xm:f>
          </x14:formula1>
          <xm:sqref>D4:E4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D144D-D7C6-408A-B19E-1FC911414DFA}">
  <sheetPr codeName="Feuil12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6" width="13" customWidth="1"/>
    <col min="7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143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46143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45778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46139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45775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46139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IFERROR(INDEX(Données!F:F,MATCH($E$4&amp;"|"&amp;TEXT(C6,"aaaa-mm-jj"),Données!A:A,0)),0)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45776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46140</v>
      </c>
      <c r="D7" s="27">
        <f>IFERROR(INDEX(Données!F:F,MATCH($D$4&amp;"|"&amp;TEXT(B7,"aaaa-mm-jj"),Données!A:A,0)),0)</f>
        <v>857</v>
      </c>
      <c r="E7" s="68">
        <f>IFERROR(INDEX(Données!F:F,MATCH($E$4&amp;"|"&amp;TEXT(C7,"aaaa-mm-jj"),Données!A:A,0)),0)</f>
        <v>0</v>
      </c>
      <c r="F7" s="3">
        <f t="shared" si="0"/>
        <v>-857</v>
      </c>
      <c r="G7" s="4">
        <f t="shared" si="1"/>
        <v>-1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45777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46141</v>
      </c>
      <c r="D8" s="27">
        <f>IFERROR(INDEX(Données!F:F,MATCH($D$4&amp;"|"&amp;TEXT(B8,"aaaa-mm-jj"),Données!A:A,0)),0)</f>
        <v>1129.9000000000001</v>
      </c>
      <c r="E8" s="68">
        <f>IFERROR(INDEX(Données!F:F,MATCH($E$4&amp;"|"&amp;TEXT(C8,"aaaa-mm-jj"),Données!A:A,0)),0)</f>
        <v>0</v>
      </c>
      <c r="F8" s="3">
        <f t="shared" si="0"/>
        <v>-1129.9000000000001</v>
      </c>
      <c r="G8" s="4">
        <f t="shared" si="1"/>
        <v>-1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45778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46142</v>
      </c>
      <c r="D9" s="27">
        <f>IFERROR(INDEX(Données!F:F,MATCH($D$4&amp;"|"&amp;TEXT(B9,"aaaa-mm-jj"),Données!A:A,0)),0)</f>
        <v>0</v>
      </c>
      <c r="E9" s="68">
        <f>IFERROR(INDEX(Données!F:F,MATCH($E$4&amp;"|"&amp;TEXT(C9,"aaaa-mm-jj"),Données!A:A,0)),0)</f>
        <v>0</v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45779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46143</v>
      </c>
      <c r="D10" s="27">
        <f>IFERROR(INDEX(Données!F:F,MATCH($D$4&amp;"|"&amp;TEXT(B10,"aaaa-mm-jj"),Données!A:A,0)),0)</f>
        <v>439.4</v>
      </c>
      <c r="E10" s="68">
        <f>IFERROR(INDEX(Données!F:F,MATCH($E$4&amp;"|"&amp;TEXT(C10,"aaaa-mm-jj"),Données!A:A,0)),0)</f>
        <v>0</v>
      </c>
      <c r="F10" s="3">
        <f t="shared" si="0"/>
        <v>-439.4</v>
      </c>
      <c r="G10" s="4">
        <f t="shared" si="1"/>
        <v>-1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45780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46144</v>
      </c>
      <c r="D11" s="27">
        <f>IFERROR(INDEX(Données!F:F,MATCH($D$4&amp;"|"&amp;TEXT(B11,"aaaa-mm-jj"),Données!A:A,0)),0)</f>
        <v>368</v>
      </c>
      <c r="E11" s="68">
        <f>IFERROR(INDEX(Données!F:F,MATCH($E$4&amp;"|"&amp;TEXT(C11,"aaaa-mm-jj"),Données!A:A,0)),0)</f>
        <v>0</v>
      </c>
      <c r="F11" s="3">
        <f t="shared" si="0"/>
        <v>-368</v>
      </c>
      <c r="G11" s="4">
        <f t="shared" si="1"/>
        <v>-1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45781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46145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IFERROR(INDEX(Données!F:F,MATCH($E$4&amp;"|"&amp;TEXT(C12,"aaaa-mm-jj"),Données!A:A,0)),0)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45782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46146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IFERROR(INDEX(Données!F:F,MATCH($E$4&amp;"|"&amp;TEXT(C13,"aaaa-mm-jj"),Données!A:A,0)),0)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45783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46147</v>
      </c>
      <c r="D14" s="27">
        <f>IFERROR(INDEX(Données!F:F,MATCH($D$4&amp;"|"&amp;TEXT(B14,"aaaa-mm-jj"),Données!A:A,0)),0)</f>
        <v>849</v>
      </c>
      <c r="E14" s="68">
        <f>IFERROR(INDEX(Données!F:F,MATCH($E$4&amp;"|"&amp;TEXT(C14,"aaaa-mm-jj"),Données!A:A,0)),0)</f>
        <v>0</v>
      </c>
      <c r="F14" s="3">
        <f t="shared" si="0"/>
        <v>-849</v>
      </c>
      <c r="G14" s="4">
        <f t="shared" si="1"/>
        <v>-1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45784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46148</v>
      </c>
      <c r="D15" s="27">
        <f>IFERROR(INDEX(Données!F:F,MATCH($D$4&amp;"|"&amp;TEXT(B15,"aaaa-mm-jj"),Données!A:A,0)),0)</f>
        <v>607</v>
      </c>
      <c r="E15" s="68">
        <f>IFERROR(INDEX(Données!F:F,MATCH($E$4&amp;"|"&amp;TEXT(C15,"aaaa-mm-jj"),Données!A:A,0)),0)</f>
        <v>0</v>
      </c>
      <c r="F15" s="3">
        <f t="shared" si="0"/>
        <v>-607</v>
      </c>
      <c r="G15" s="4">
        <f t="shared" si="1"/>
        <v>-1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45785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46149</v>
      </c>
      <c r="D16" s="27">
        <f>IFERROR(INDEX(Données!F:F,MATCH($D$4&amp;"|"&amp;TEXT(B16,"aaaa-mm-jj"),Données!A:A,0)),0)</f>
        <v>0</v>
      </c>
      <c r="E16" s="68">
        <f>IFERROR(INDEX(Données!F:F,MATCH($E$4&amp;"|"&amp;TEXT(C16,"aaaa-mm-jj"),Données!A:A,0)),0)</f>
        <v>0</v>
      </c>
      <c r="F16" s="3">
        <f t="shared" si="0"/>
        <v>0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45786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46150</v>
      </c>
      <c r="D17" s="27">
        <f>IFERROR(INDEX(Données!F:F,MATCH($D$4&amp;"|"&amp;TEXT(B17,"aaaa-mm-jj"),Données!A:A,0)),0)</f>
        <v>629</v>
      </c>
      <c r="E17" s="68">
        <f>IFERROR(INDEX(Données!F:F,MATCH($E$4&amp;"|"&amp;TEXT(C17,"aaaa-mm-jj"),Données!A:A,0)),0)</f>
        <v>0</v>
      </c>
      <c r="F17" s="3">
        <f t="shared" si="0"/>
        <v>-629</v>
      </c>
      <c r="G17" s="4">
        <f t="shared" si="1"/>
        <v>-1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45787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46151</v>
      </c>
      <c r="D18" s="27">
        <f>IFERROR(INDEX(Données!F:F,MATCH($D$4&amp;"|"&amp;TEXT(B18,"aaaa-mm-jj"),Données!A:A,0)),0)</f>
        <v>330</v>
      </c>
      <c r="E18" s="68">
        <f>IFERROR(INDEX(Données!F:F,MATCH($E$4&amp;"|"&amp;TEXT(C18,"aaaa-mm-jj"),Données!A:A,0)),0)</f>
        <v>0</v>
      </c>
      <c r="F18" s="3">
        <f t="shared" si="0"/>
        <v>-330</v>
      </c>
      <c r="G18" s="4">
        <f t="shared" si="1"/>
        <v>-1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45788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46152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IFERROR(INDEX(Données!F:F,MATCH($E$4&amp;"|"&amp;TEXT(C19,"aaaa-mm-jj"),Données!A:A,0)),0)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45789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46153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IFERROR(INDEX(Données!F:F,MATCH($E$4&amp;"|"&amp;TEXT(C20,"aaaa-mm-jj"),Données!A:A,0)),0)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45790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46154</v>
      </c>
      <c r="D21" s="27">
        <f>IFERROR(INDEX(Données!F:F,MATCH($D$4&amp;"|"&amp;TEXT(B21,"aaaa-mm-jj"),Données!A:A,0)),0)</f>
        <v>804</v>
      </c>
      <c r="E21" s="68">
        <f>IFERROR(INDEX(Données!F:F,MATCH($E$4&amp;"|"&amp;TEXT(C21,"aaaa-mm-jj"),Données!A:A,0)),0)</f>
        <v>0</v>
      </c>
      <c r="F21" s="3">
        <f t="shared" si="0"/>
        <v>-804</v>
      </c>
      <c r="G21" s="4">
        <f t="shared" si="1"/>
        <v>-1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45791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46155</v>
      </c>
      <c r="D22" s="27">
        <f>IFERROR(INDEX(Données!F:F,MATCH($D$4&amp;"|"&amp;TEXT(B22,"aaaa-mm-jj"),Données!A:A,0)),0)</f>
        <v>1072</v>
      </c>
      <c r="E22" s="68">
        <f>IFERROR(INDEX(Données!F:F,MATCH($E$4&amp;"|"&amp;TEXT(C22,"aaaa-mm-jj"),Données!A:A,0)),0)</f>
        <v>0</v>
      </c>
      <c r="F22" s="3">
        <f t="shared" si="0"/>
        <v>-1072</v>
      </c>
      <c r="G22" s="4">
        <f t="shared" si="1"/>
        <v>-1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45792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46156</v>
      </c>
      <c r="D23" s="27">
        <f>IFERROR(INDEX(Données!F:F,MATCH($D$4&amp;"|"&amp;TEXT(B23,"aaaa-mm-jj"),Données!A:A,0)),0)</f>
        <v>703</v>
      </c>
      <c r="E23" s="68">
        <f>IFERROR(INDEX(Données!F:F,MATCH($E$4&amp;"|"&amp;TEXT(C23,"aaaa-mm-jj"),Données!A:A,0)),0)</f>
        <v>0</v>
      </c>
      <c r="F23" s="3">
        <f t="shared" si="0"/>
        <v>-703</v>
      </c>
      <c r="G23" s="4">
        <f t="shared" si="1"/>
        <v>-1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45793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46157</v>
      </c>
      <c r="D24" s="27">
        <f>IFERROR(INDEX(Données!F:F,MATCH($D$4&amp;"|"&amp;TEXT(B24,"aaaa-mm-jj"),Données!A:A,0)),0)</f>
        <v>965</v>
      </c>
      <c r="E24" s="68">
        <f>IFERROR(INDEX(Données!F:F,MATCH($E$4&amp;"|"&amp;TEXT(C24,"aaaa-mm-jj"),Données!A:A,0)),0)</f>
        <v>0</v>
      </c>
      <c r="F24" s="3">
        <f t="shared" si="0"/>
        <v>-965</v>
      </c>
      <c r="G24" s="4">
        <f t="shared" si="1"/>
        <v>-1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45794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46158</v>
      </c>
      <c r="D25" s="27">
        <f>IFERROR(INDEX(Données!F:F,MATCH($D$4&amp;"|"&amp;TEXT(B25,"aaaa-mm-jj"),Données!A:A,0)),0)</f>
        <v>516</v>
      </c>
      <c r="E25" s="68">
        <f>IFERROR(INDEX(Données!F:F,MATCH($E$4&amp;"|"&amp;TEXT(C25,"aaaa-mm-jj"),Données!A:A,0)),0)</f>
        <v>0</v>
      </c>
      <c r="F25" s="3">
        <f t="shared" si="0"/>
        <v>-516</v>
      </c>
      <c r="G25" s="4">
        <f t="shared" si="1"/>
        <v>-1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45795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46159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IFERROR(INDEX(Données!F:F,MATCH($E$4&amp;"|"&amp;TEXT(C26,"aaaa-mm-jj"),Données!A:A,0)),0)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45796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46160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IFERROR(INDEX(Données!F:F,MATCH($E$4&amp;"|"&amp;TEXT(C27,"aaaa-mm-jj"),Données!A:A,0)),0)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45797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46161</v>
      </c>
      <c r="D28" s="27">
        <f>IFERROR(INDEX(Données!F:F,MATCH($D$4&amp;"|"&amp;TEXT(B28,"aaaa-mm-jj"),Données!A:A,0)),0)</f>
        <v>751</v>
      </c>
      <c r="E28" s="68">
        <f>IFERROR(INDEX(Données!F:F,MATCH($E$4&amp;"|"&amp;TEXT(C28,"aaaa-mm-jj"),Données!A:A,0)),0)</f>
        <v>0</v>
      </c>
      <c r="F28" s="3">
        <f t="shared" si="0"/>
        <v>-751</v>
      </c>
      <c r="G28" s="4">
        <f t="shared" si="1"/>
        <v>-1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45798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46162</v>
      </c>
      <c r="D29" s="27">
        <f>IFERROR(INDEX(Données!F:F,MATCH($D$4&amp;"|"&amp;TEXT(B29,"aaaa-mm-jj"),Données!A:A,0)),0)</f>
        <v>974</v>
      </c>
      <c r="E29" s="68">
        <f>IFERROR(INDEX(Données!F:F,MATCH($E$4&amp;"|"&amp;TEXT(C29,"aaaa-mm-jj"),Données!A:A,0)),0)</f>
        <v>0</v>
      </c>
      <c r="F29" s="3">
        <f t="shared" si="0"/>
        <v>-974</v>
      </c>
      <c r="G29" s="4">
        <f t="shared" si="1"/>
        <v>-1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45799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46163</v>
      </c>
      <c r="D30" s="27">
        <f>IFERROR(INDEX(Données!F:F,MATCH($D$4&amp;"|"&amp;TEXT(B30,"aaaa-mm-jj"),Données!A:A,0)),0)</f>
        <v>570</v>
      </c>
      <c r="E30" s="68">
        <f>IFERROR(INDEX(Données!F:F,MATCH($E$4&amp;"|"&amp;TEXT(C30,"aaaa-mm-jj"),Données!A:A,0)),0)</f>
        <v>0</v>
      </c>
      <c r="F30" s="3">
        <f t="shared" si="0"/>
        <v>-570</v>
      </c>
      <c r="G30" s="4">
        <f t="shared" si="1"/>
        <v>-1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45800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46164</v>
      </c>
      <c r="D31" s="27">
        <f>IFERROR(INDEX(Données!F:F,MATCH($D$4&amp;"|"&amp;TEXT(B31,"aaaa-mm-jj"),Données!A:A,0)),0)</f>
        <v>714</v>
      </c>
      <c r="E31" s="68">
        <f>IFERROR(INDEX(Données!F:F,MATCH($E$4&amp;"|"&amp;TEXT(C31,"aaaa-mm-jj"),Données!A:A,0)),0)</f>
        <v>0</v>
      </c>
      <c r="F31" s="3">
        <f t="shared" si="0"/>
        <v>-714</v>
      </c>
      <c r="G31" s="4">
        <f t="shared" si="1"/>
        <v>-1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45801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46165</v>
      </c>
      <c r="D32" s="27">
        <f>IFERROR(INDEX(Données!F:F,MATCH($D$4&amp;"|"&amp;TEXT(B32,"aaaa-mm-jj"),Données!A:A,0)),0)</f>
        <v>192</v>
      </c>
      <c r="E32" s="68">
        <f>IFERROR(INDEX(Données!F:F,MATCH($E$4&amp;"|"&amp;TEXT(C32,"aaaa-mm-jj"),Données!A:A,0)),0)</f>
        <v>0</v>
      </c>
      <c r="F32" s="3">
        <f t="shared" si="0"/>
        <v>-192</v>
      </c>
      <c r="G32" s="4">
        <f t="shared" si="1"/>
        <v>-1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45802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46166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IFERROR(INDEX(Données!F:F,MATCH($E$4&amp;"|"&amp;TEXT(C33,"aaaa-mm-jj"),Données!A:A,0)),0)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45803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46167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IFERROR(INDEX(Données!F:F,MATCH($E$4&amp;"|"&amp;TEXT(C34,"aaaa-mm-jj"),Données!A:A,0)),0)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45804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46168</v>
      </c>
      <c r="D35" s="27">
        <f>IFERROR(INDEX(Données!F:F,MATCH($D$4&amp;"|"&amp;TEXT(B35,"aaaa-mm-jj"),Données!A:A,0)),0)</f>
        <v>834.7</v>
      </c>
      <c r="E35" s="68">
        <f>IFERROR(INDEX(Données!F:F,MATCH($E$4&amp;"|"&amp;TEXT(C35,"aaaa-mm-jj"),Données!A:A,0)),0)</f>
        <v>0</v>
      </c>
      <c r="F35" s="3">
        <f t="shared" si="0"/>
        <v>-834.7</v>
      </c>
      <c r="G35" s="4">
        <f t="shared" si="1"/>
        <v>-1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45805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46169</v>
      </c>
      <c r="D36" s="27">
        <f>IFERROR(INDEX(Données!F:F,MATCH($D$4&amp;"|"&amp;TEXT(B36,"aaaa-mm-jj"),Données!A:A,0)),0)</f>
        <v>801</v>
      </c>
      <c r="E36" s="68">
        <f>IFERROR(INDEX(Données!F:F,MATCH($E$4&amp;"|"&amp;TEXT(C36,"aaaa-mm-jj"),Données!A:A,0)),0)</f>
        <v>0</v>
      </c>
      <c r="F36" s="3">
        <f t="shared" si="0"/>
        <v>-801</v>
      </c>
      <c r="G36" s="4">
        <f t="shared" si="1"/>
        <v>-1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45806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46170</v>
      </c>
      <c r="D37" s="27">
        <f>IFERROR(INDEX(Données!F:F,MATCH($D$4&amp;"|"&amp;TEXT(B37,"aaaa-mm-jj"),Données!A:A,0)),0)</f>
        <v>0</v>
      </c>
      <c r="E37" s="68">
        <f>IFERROR(INDEX(Données!F:F,MATCH($E$4&amp;"|"&amp;TEXT(C37,"aaaa-mm-jj"),Données!A:A,0)),0)</f>
        <v>0</v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45807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46171</v>
      </c>
      <c r="D38" s="27">
        <f>IFERROR(INDEX(Données!F:F,MATCH($D$4&amp;"|"&amp;TEXT(B38,"aaaa-mm-jj"),Données!A:A,0)),0)</f>
        <v>845</v>
      </c>
      <c r="E38" s="68">
        <f>IFERROR(INDEX(Données!F:F,MATCH($E$4&amp;"|"&amp;TEXT(C38,"aaaa-mm-jj"),Données!A:A,0)),0)</f>
        <v>0</v>
      </c>
      <c r="F38" s="3">
        <f t="shared" si="0"/>
        <v>-845</v>
      </c>
      <c r="G38" s="4">
        <f t="shared" si="1"/>
        <v>-1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45808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46172</v>
      </c>
      <c r="D39" s="27">
        <f>IFERROR(INDEX(Données!F:F,MATCH($D$4&amp;"|"&amp;TEXT(B39,"aaaa-mm-jj"),Données!A:A,0)),0)</f>
        <v>373</v>
      </c>
      <c r="E39" s="68">
        <f>IFERROR(INDEX(Données!F:F,MATCH($E$4&amp;"|"&amp;TEXT(C39,"aaaa-mm-jj"),Données!A:A,0)),0)</f>
        <v>0</v>
      </c>
      <c r="F39" s="3">
        <f t="shared" si="0"/>
        <v>-373</v>
      </c>
      <c r="G39" s="4">
        <f t="shared" si="1"/>
        <v>-1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45809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46173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45810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46174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IFERROR(INDEX(Données!F:F,MATCH($E$4&amp;"|"&amp;TEXT(C41,"aaaa-mm-jj"),Données!A:A,0)),0)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45811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46175</v>
      </c>
      <c r="D42" s="27">
        <f>IFERROR(INDEX(Données!F:F,MATCH($D$4&amp;"|"&amp;TEXT(B42,"aaaa-mm-jj"),Données!A:A,0)),0)</f>
        <v>791</v>
      </c>
      <c r="E42" s="68">
        <f>IFERROR(INDEX(Données!F:F,MATCH($E$4&amp;"|"&amp;TEXT(C42,"aaaa-mm-jj"),Données!A:A,0)),0)</f>
        <v>0</v>
      </c>
      <c r="F42" s="3">
        <f t="shared" si="0"/>
        <v>-791</v>
      </c>
      <c r="G42" s="4">
        <f t="shared" si="1"/>
        <v>-1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45812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46176</v>
      </c>
      <c r="D43" s="27">
        <f>IFERROR(INDEX(Données!F:F,MATCH($D$4&amp;"|"&amp;TEXT(B43,"aaaa-mm-jj"),Données!A:A,0)),0)</f>
        <v>786</v>
      </c>
      <c r="E43" s="68">
        <f>IFERROR(INDEX(Données!F:F,MATCH($E$4&amp;"|"&amp;TEXT(C43,"aaaa-mm-jj"),Données!A:A,0)),0)</f>
        <v>0</v>
      </c>
      <c r="F43" s="3">
        <f t="shared" si="0"/>
        <v>-786</v>
      </c>
      <c r="G43" s="4">
        <f t="shared" si="1"/>
        <v>-1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46178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46179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46180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46181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46182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46183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46184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46185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46186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46187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13337.1</v>
      </c>
      <c r="E54" s="28">
        <f>SUMIFS(E:E, C:C, "&gt;="&amp;DATE(YEAR($M$2),MONTH($M$2),1), C:C, "&lt;"&amp;DATE(YEAR($M$2),MONTH($M$2)+1,1))</f>
        <v>0</v>
      </c>
      <c r="F54" s="29">
        <f>E54 - D54</f>
        <v>-13337.1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avril!D56 + D54</f>
        <v>137062.39999999999</v>
      </c>
      <c r="E56" s="5">
        <f>avril!E56 + E54</f>
        <v>78275.7</v>
      </c>
      <c r="F56" s="6">
        <f>E56-D56</f>
        <v>-58786.7</v>
      </c>
      <c r="G56" s="7">
        <f>IFERROR((E56-D56)/D56,0)</f>
        <v>-0.4289046448916698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11" priority="5">
      <formula>$A5="lundi"</formula>
    </cfRule>
    <cfRule type="expression" dxfId="10" priority="6">
      <formula>$A5="dimanche"</formula>
    </cfRule>
  </conditionalFormatting>
  <conditionalFormatting sqref="C6:C53">
    <cfRule type="expression" dxfId="9" priority="4">
      <formula>MONTH($C6)&lt;&gt;MONTH($M$2)</formula>
    </cfRule>
  </conditionalFormatting>
  <conditionalFormatting sqref="B6:B53">
    <cfRule type="expression" dxfId="8" priority="3">
      <formula>MONTH($B6)&lt;&gt;MONTH($M$3)</formula>
    </cfRule>
  </conditionalFormatting>
  <conditionalFormatting sqref="E6:E53">
    <cfRule type="expression" dxfId="7" priority="2">
      <formula>MONTH($C6)&lt;&gt;MONTH($M$2)</formula>
    </cfRule>
  </conditionalFormatting>
  <conditionalFormatting sqref="D6:D53">
    <cfRule type="expression" dxfId="6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4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5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6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7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8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9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0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1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2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FEABEB3-D8DD-4044-8EBE-38D2EC3DB1CB}">
          <x14:formula1>
            <xm:f>Feuil1!$A$1:$A$19</xm:f>
          </x14:formula1>
          <xm:sqref>D4:E4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E43E3-4D28-4D42-BF14-586335E4E780}">
  <sheetPr codeName="Feuil13"/>
  <dimension ref="A1:O1228"/>
  <sheetViews>
    <sheetView showGridLines="0" workbookViewId="0">
      <selection activeCell="L17" sqref="L17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6" width="12.109375" customWidth="1"/>
    <col min="7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174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46174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45809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46174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45803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46174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IFERROR(INDEX(Données!F:F,MATCH($E$4&amp;"|"&amp;TEXT(C6,"aaaa-mm-jj"),Données!A:A,0)),0)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45804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46175</v>
      </c>
      <c r="D7" s="27">
        <f>IFERROR(INDEX(Données!F:F,MATCH($D$4&amp;"|"&amp;TEXT(B7,"aaaa-mm-jj"),Données!A:A,0)),0)</f>
        <v>834.7</v>
      </c>
      <c r="E7" s="68">
        <f>IFERROR(INDEX(Données!F:F,MATCH($E$4&amp;"|"&amp;TEXT(C7,"aaaa-mm-jj"),Données!A:A,0)),0)</f>
        <v>0</v>
      </c>
      <c r="F7" s="3">
        <f t="shared" si="0"/>
        <v>-834.7</v>
      </c>
      <c r="G7" s="4">
        <f t="shared" si="1"/>
        <v>-1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45805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46176</v>
      </c>
      <c r="D8" s="27">
        <f>IFERROR(INDEX(Données!F:F,MATCH($D$4&amp;"|"&amp;TEXT(B8,"aaaa-mm-jj"),Données!A:A,0)),0)</f>
        <v>801</v>
      </c>
      <c r="E8" s="68">
        <f>IFERROR(INDEX(Données!F:F,MATCH($E$4&amp;"|"&amp;TEXT(C8,"aaaa-mm-jj"),Données!A:A,0)),0)</f>
        <v>0</v>
      </c>
      <c r="F8" s="3">
        <f t="shared" si="0"/>
        <v>-801</v>
      </c>
      <c r="G8" s="4">
        <f t="shared" si="1"/>
        <v>-1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45806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46177</v>
      </c>
      <c r="D9" s="27">
        <f>IFERROR(INDEX(Données!F:F,MATCH($D$4&amp;"|"&amp;TEXT(B9,"aaaa-mm-jj"),Données!A:A,0)),0)</f>
        <v>0</v>
      </c>
      <c r="E9" s="68">
        <f>IFERROR(INDEX(Données!F:F,MATCH($E$4&amp;"|"&amp;TEXT(C9,"aaaa-mm-jj"),Données!A:A,0)),0)</f>
        <v>0</v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45807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46178</v>
      </c>
      <c r="D10" s="27">
        <f>IFERROR(INDEX(Données!F:F,MATCH($D$4&amp;"|"&amp;TEXT(B10,"aaaa-mm-jj"),Données!A:A,0)),0)</f>
        <v>845</v>
      </c>
      <c r="E10" s="68">
        <f>IFERROR(INDEX(Données!F:F,MATCH($E$4&amp;"|"&amp;TEXT(C10,"aaaa-mm-jj"),Données!A:A,0)),0)</f>
        <v>0</v>
      </c>
      <c r="F10" s="3">
        <f t="shared" si="0"/>
        <v>-845</v>
      </c>
      <c r="G10" s="4">
        <f t="shared" si="1"/>
        <v>-1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45808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46179</v>
      </c>
      <c r="D11" s="27">
        <f>IFERROR(INDEX(Données!F:F,MATCH($D$4&amp;"|"&amp;TEXT(B11,"aaaa-mm-jj"),Données!A:A,0)),0)</f>
        <v>373</v>
      </c>
      <c r="E11" s="68">
        <f>IFERROR(INDEX(Données!F:F,MATCH($E$4&amp;"|"&amp;TEXT(C11,"aaaa-mm-jj"),Données!A:A,0)),0)</f>
        <v>0</v>
      </c>
      <c r="F11" s="3">
        <f t="shared" si="0"/>
        <v>-373</v>
      </c>
      <c r="G11" s="4">
        <f t="shared" si="1"/>
        <v>-1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45809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46180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IFERROR(INDEX(Données!F:F,MATCH($E$4&amp;"|"&amp;TEXT(C12,"aaaa-mm-jj"),Données!A:A,0)),0)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45810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46181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IFERROR(INDEX(Données!F:F,MATCH($E$4&amp;"|"&amp;TEXT(C13,"aaaa-mm-jj"),Données!A:A,0)),0)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45811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46182</v>
      </c>
      <c r="D14" s="27">
        <f>IFERROR(INDEX(Données!F:F,MATCH($D$4&amp;"|"&amp;TEXT(B14,"aaaa-mm-jj"),Données!A:A,0)),0)</f>
        <v>791</v>
      </c>
      <c r="E14" s="68">
        <f>IFERROR(INDEX(Données!F:F,MATCH($E$4&amp;"|"&amp;TEXT(C14,"aaaa-mm-jj"),Données!A:A,0)),0)</f>
        <v>0</v>
      </c>
      <c r="F14" s="3">
        <f t="shared" si="0"/>
        <v>-791</v>
      </c>
      <c r="G14" s="4">
        <f t="shared" si="1"/>
        <v>-1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45812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46183</v>
      </c>
      <c r="D15" s="27">
        <f>IFERROR(INDEX(Données!F:F,MATCH($D$4&amp;"|"&amp;TEXT(B15,"aaaa-mm-jj"),Données!A:A,0)),0)</f>
        <v>786</v>
      </c>
      <c r="E15" s="68">
        <f>IFERROR(INDEX(Données!F:F,MATCH($E$4&amp;"|"&amp;TEXT(C15,"aaaa-mm-jj"),Données!A:A,0)),0)</f>
        <v>0</v>
      </c>
      <c r="F15" s="3">
        <f t="shared" si="0"/>
        <v>-786</v>
      </c>
      <c r="G15" s="4">
        <f t="shared" si="1"/>
        <v>-1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45813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46184</v>
      </c>
      <c r="D16" s="27">
        <f>IFERROR(INDEX(Données!F:F,MATCH($D$4&amp;"|"&amp;TEXT(B16,"aaaa-mm-jj"),Données!A:A,0)),0)</f>
        <v>824</v>
      </c>
      <c r="E16" s="68">
        <f>IFERROR(INDEX(Données!F:F,MATCH($E$4&amp;"|"&amp;TEXT(C16,"aaaa-mm-jj"),Données!A:A,0)),0)</f>
        <v>0</v>
      </c>
      <c r="F16" s="3">
        <f t="shared" si="0"/>
        <v>-824</v>
      </c>
      <c r="G16" s="4">
        <f t="shared" si="1"/>
        <v>-1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45814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46185</v>
      </c>
      <c r="D17" s="27">
        <f>IFERROR(INDEX(Données!F:F,MATCH($D$4&amp;"|"&amp;TEXT(B17,"aaaa-mm-jj"),Données!A:A,0)),0)</f>
        <v>1113.4000000000001</v>
      </c>
      <c r="E17" s="68">
        <f>IFERROR(INDEX(Données!F:F,MATCH($E$4&amp;"|"&amp;TEXT(C17,"aaaa-mm-jj"),Données!A:A,0)),0)</f>
        <v>0</v>
      </c>
      <c r="F17" s="3">
        <f t="shared" si="0"/>
        <v>-1113.4000000000001</v>
      </c>
      <c r="G17" s="4">
        <f t="shared" si="1"/>
        <v>-1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45815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46186</v>
      </c>
      <c r="D18" s="27">
        <f>IFERROR(INDEX(Données!F:F,MATCH($D$4&amp;"|"&amp;TEXT(B18,"aaaa-mm-jj"),Données!A:A,0)),0)</f>
        <v>372</v>
      </c>
      <c r="E18" s="68">
        <f>IFERROR(INDEX(Données!F:F,MATCH($E$4&amp;"|"&amp;TEXT(C18,"aaaa-mm-jj"),Données!A:A,0)),0)</f>
        <v>0</v>
      </c>
      <c r="F18" s="3">
        <f t="shared" si="0"/>
        <v>-372</v>
      </c>
      <c r="G18" s="4">
        <f t="shared" si="1"/>
        <v>-1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45816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46187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IFERROR(INDEX(Données!F:F,MATCH($E$4&amp;"|"&amp;TEXT(C19,"aaaa-mm-jj"),Données!A:A,0)),0)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45817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46188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IFERROR(INDEX(Données!F:F,MATCH($E$4&amp;"|"&amp;TEXT(C20,"aaaa-mm-jj"),Données!A:A,0)),0)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45818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46189</v>
      </c>
      <c r="D21" s="27">
        <f>IFERROR(INDEX(Données!F:F,MATCH($D$4&amp;"|"&amp;TEXT(B21,"aaaa-mm-jj"),Données!A:A,0)),0)</f>
        <v>829.8</v>
      </c>
      <c r="E21" s="68">
        <f>IFERROR(INDEX(Données!F:F,MATCH($E$4&amp;"|"&amp;TEXT(C21,"aaaa-mm-jj"),Données!A:A,0)),0)</f>
        <v>0</v>
      </c>
      <c r="F21" s="3">
        <f t="shared" si="0"/>
        <v>-829.8</v>
      </c>
      <c r="G21" s="4">
        <f t="shared" si="1"/>
        <v>-1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45819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46190</v>
      </c>
      <c r="D22" s="27">
        <f>IFERROR(INDEX(Données!F:F,MATCH($D$4&amp;"|"&amp;TEXT(B22,"aaaa-mm-jj"),Données!A:A,0)),0)</f>
        <v>908</v>
      </c>
      <c r="E22" s="68">
        <f>IFERROR(INDEX(Données!F:F,MATCH($E$4&amp;"|"&amp;TEXT(C22,"aaaa-mm-jj"),Données!A:A,0)),0)</f>
        <v>0</v>
      </c>
      <c r="F22" s="3">
        <f t="shared" si="0"/>
        <v>-908</v>
      </c>
      <c r="G22" s="4">
        <f t="shared" si="1"/>
        <v>-1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45820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46191</v>
      </c>
      <c r="D23" s="27">
        <f>IFERROR(INDEX(Données!F:F,MATCH($D$4&amp;"|"&amp;TEXT(B23,"aaaa-mm-jj"),Données!A:A,0)),0)</f>
        <v>569</v>
      </c>
      <c r="E23" s="68">
        <f>IFERROR(INDEX(Données!F:F,MATCH($E$4&amp;"|"&amp;TEXT(C23,"aaaa-mm-jj"),Données!A:A,0)),0)</f>
        <v>0</v>
      </c>
      <c r="F23" s="3">
        <f t="shared" si="0"/>
        <v>-569</v>
      </c>
      <c r="G23" s="4">
        <f t="shared" si="1"/>
        <v>-1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45821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46192</v>
      </c>
      <c r="D24" s="27">
        <f>IFERROR(INDEX(Données!F:F,MATCH($D$4&amp;"|"&amp;TEXT(B24,"aaaa-mm-jj"),Données!A:A,0)),0)</f>
        <v>792</v>
      </c>
      <c r="E24" s="68">
        <f>IFERROR(INDEX(Données!F:F,MATCH($E$4&amp;"|"&amp;TEXT(C24,"aaaa-mm-jj"),Données!A:A,0)),0)</f>
        <v>0</v>
      </c>
      <c r="F24" s="3">
        <f t="shared" si="0"/>
        <v>-792</v>
      </c>
      <c r="G24" s="4">
        <f t="shared" si="1"/>
        <v>-1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45822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46193</v>
      </c>
      <c r="D25" s="27">
        <f>IFERROR(INDEX(Données!F:F,MATCH($D$4&amp;"|"&amp;TEXT(B25,"aaaa-mm-jj"),Données!A:A,0)),0)</f>
        <v>350</v>
      </c>
      <c r="E25" s="68">
        <f>IFERROR(INDEX(Données!F:F,MATCH($E$4&amp;"|"&amp;TEXT(C25,"aaaa-mm-jj"),Données!A:A,0)),0)</f>
        <v>0</v>
      </c>
      <c r="F25" s="3">
        <f t="shared" si="0"/>
        <v>-350</v>
      </c>
      <c r="G25" s="4">
        <f t="shared" si="1"/>
        <v>-1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45823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46194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IFERROR(INDEX(Données!F:F,MATCH($E$4&amp;"|"&amp;TEXT(C26,"aaaa-mm-jj"),Données!A:A,0)),0)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45824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46195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IFERROR(INDEX(Données!F:F,MATCH($E$4&amp;"|"&amp;TEXT(C27,"aaaa-mm-jj"),Données!A:A,0)),0)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45825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46196</v>
      </c>
      <c r="D28" s="27">
        <f>IFERROR(INDEX(Données!F:F,MATCH($D$4&amp;"|"&amp;TEXT(B28,"aaaa-mm-jj"),Données!A:A,0)),0)</f>
        <v>852</v>
      </c>
      <c r="E28" s="68">
        <f>IFERROR(INDEX(Données!F:F,MATCH($E$4&amp;"|"&amp;TEXT(C28,"aaaa-mm-jj"),Données!A:A,0)),0)</f>
        <v>0</v>
      </c>
      <c r="F28" s="3">
        <f t="shared" si="0"/>
        <v>-852</v>
      </c>
      <c r="G28" s="4">
        <f t="shared" si="1"/>
        <v>-1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45826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46197</v>
      </c>
      <c r="D29" s="27">
        <f>IFERROR(INDEX(Données!F:F,MATCH($D$4&amp;"|"&amp;TEXT(B29,"aaaa-mm-jj"),Données!A:A,0)),0)</f>
        <v>1023</v>
      </c>
      <c r="E29" s="68">
        <f>IFERROR(INDEX(Données!F:F,MATCH($E$4&amp;"|"&amp;TEXT(C29,"aaaa-mm-jj"),Données!A:A,0)),0)</f>
        <v>0</v>
      </c>
      <c r="F29" s="3">
        <f t="shared" si="0"/>
        <v>-1023</v>
      </c>
      <c r="G29" s="4">
        <f t="shared" si="1"/>
        <v>-1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45827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46198</v>
      </c>
      <c r="D30" s="27">
        <f>IFERROR(INDEX(Données!F:F,MATCH($D$4&amp;"|"&amp;TEXT(B30,"aaaa-mm-jj"),Données!A:A,0)),0)</f>
        <v>654</v>
      </c>
      <c r="E30" s="68">
        <f>IFERROR(INDEX(Données!F:F,MATCH($E$4&amp;"|"&amp;TEXT(C30,"aaaa-mm-jj"),Données!A:A,0)),0)</f>
        <v>0</v>
      </c>
      <c r="F30" s="3">
        <f t="shared" si="0"/>
        <v>-654</v>
      </c>
      <c r="G30" s="4">
        <f t="shared" si="1"/>
        <v>-1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45828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46199</v>
      </c>
      <c r="D31" s="27">
        <f>IFERROR(INDEX(Données!F:F,MATCH($D$4&amp;"|"&amp;TEXT(B31,"aaaa-mm-jj"),Données!A:A,0)),0)</f>
        <v>815</v>
      </c>
      <c r="E31" s="68">
        <f>IFERROR(INDEX(Données!F:F,MATCH($E$4&amp;"|"&amp;TEXT(C31,"aaaa-mm-jj"),Données!A:A,0)),0)</f>
        <v>0</v>
      </c>
      <c r="F31" s="3">
        <f t="shared" si="0"/>
        <v>-815</v>
      </c>
      <c r="G31" s="4">
        <f t="shared" si="1"/>
        <v>-1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45829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46200</v>
      </c>
      <c r="D32" s="27">
        <f>IFERROR(INDEX(Données!F:F,MATCH($D$4&amp;"|"&amp;TEXT(B32,"aaaa-mm-jj"),Données!A:A,0)),0)</f>
        <v>612</v>
      </c>
      <c r="E32" s="68">
        <f>IFERROR(INDEX(Données!F:F,MATCH($E$4&amp;"|"&amp;TEXT(C32,"aaaa-mm-jj"),Données!A:A,0)),0)</f>
        <v>0</v>
      </c>
      <c r="F32" s="3">
        <f t="shared" si="0"/>
        <v>-612</v>
      </c>
      <c r="G32" s="4">
        <f t="shared" si="1"/>
        <v>-1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45830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46201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IFERROR(INDEX(Données!F:F,MATCH($E$4&amp;"|"&amp;TEXT(C33,"aaaa-mm-jj"),Données!A:A,0)),0)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45831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46202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IFERROR(INDEX(Données!F:F,MATCH($E$4&amp;"|"&amp;TEXT(C34,"aaaa-mm-jj"),Données!A:A,0)),0)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45832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46203</v>
      </c>
      <c r="D35" s="27">
        <f>IFERROR(INDEX(Données!F:F,MATCH($D$4&amp;"|"&amp;TEXT(B35,"aaaa-mm-jj"),Données!A:A,0)),0)</f>
        <v>573</v>
      </c>
      <c r="E35" s="68">
        <f>IFERROR(INDEX(Données!F:F,MATCH($E$4&amp;"|"&amp;TEXT(C35,"aaaa-mm-jj"),Données!A:A,0)),0)</f>
        <v>0</v>
      </c>
      <c r="F35" s="3">
        <f t="shared" si="0"/>
        <v>-573</v>
      </c>
      <c r="G35" s="4">
        <f t="shared" si="1"/>
        <v>-1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45833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46204</v>
      </c>
      <c r="D36" s="27">
        <f>IFERROR(INDEX(Données!F:F,MATCH($D$4&amp;"|"&amp;TEXT(B36,"aaaa-mm-jj"),Données!A:A,0)),0)</f>
        <v>781</v>
      </c>
      <c r="E36" s="68">
        <f>IFERROR(INDEX(Données!F:F,MATCH($E$4&amp;"|"&amp;TEXT(C36,"aaaa-mm-jj"),Données!A:A,0)),0)</f>
        <v>0</v>
      </c>
      <c r="F36" s="3">
        <f t="shared" si="0"/>
        <v>-781</v>
      </c>
      <c r="G36" s="4">
        <f t="shared" si="1"/>
        <v>-1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45834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46205</v>
      </c>
      <c r="D37" s="27">
        <f>IFERROR(INDEX(Données!F:F,MATCH($D$4&amp;"|"&amp;TEXT(B37,"aaaa-mm-jj"),Données!A:A,0)),0)</f>
        <v>409</v>
      </c>
      <c r="E37" s="68">
        <f>IFERROR(INDEX(Données!F:F,MATCH($E$4&amp;"|"&amp;TEXT(C37,"aaaa-mm-jj"),Données!A:A,0)),0)</f>
        <v>0</v>
      </c>
      <c r="F37" s="3">
        <f t="shared" si="0"/>
        <v>-409</v>
      </c>
      <c r="G37" s="4">
        <f t="shared" si="1"/>
        <v>-1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45835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46206</v>
      </c>
      <c r="D38" s="27">
        <f>IFERROR(INDEX(Données!F:F,MATCH($D$4&amp;"|"&amp;TEXT(B38,"aaaa-mm-jj"),Données!A:A,0)),0)</f>
        <v>947</v>
      </c>
      <c r="E38" s="68">
        <f>IFERROR(INDEX(Données!F:F,MATCH($E$4&amp;"|"&amp;TEXT(C38,"aaaa-mm-jj"),Données!A:A,0)),0)</f>
        <v>0</v>
      </c>
      <c r="F38" s="3">
        <f t="shared" si="0"/>
        <v>-947</v>
      </c>
      <c r="G38" s="4">
        <f t="shared" si="1"/>
        <v>-1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45836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46207</v>
      </c>
      <c r="D39" s="27">
        <f>IFERROR(INDEX(Données!F:F,MATCH($D$4&amp;"|"&amp;TEXT(B39,"aaaa-mm-jj"),Données!A:A,0)),0)</f>
        <v>221</v>
      </c>
      <c r="E39" s="68">
        <f>IFERROR(INDEX(Données!F:F,MATCH($E$4&amp;"|"&amp;TEXT(C39,"aaaa-mm-jj"),Données!A:A,0)),0)</f>
        <v>0</v>
      </c>
      <c r="F39" s="3">
        <f t="shared" si="0"/>
        <v>-221</v>
      </c>
      <c r="G39" s="4">
        <f t="shared" si="1"/>
        <v>-1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45837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46208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45838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46209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IFERROR(INDEX(Données!F:F,MATCH($E$4&amp;"|"&amp;TEXT(C41,"aaaa-mm-jj"),Données!A:A,0)),0)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45839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46210</v>
      </c>
      <c r="D42" s="27">
        <f>IFERROR(INDEX(Données!F:F,MATCH($D$4&amp;"|"&amp;TEXT(B42,"aaaa-mm-jj"),Données!A:A,0)),0)</f>
        <v>709</v>
      </c>
      <c r="E42" s="68">
        <f>IFERROR(INDEX(Données!F:F,MATCH($E$4&amp;"|"&amp;TEXT(C42,"aaaa-mm-jj"),Données!A:A,0)),0)</f>
        <v>0</v>
      </c>
      <c r="F42" s="3">
        <f t="shared" si="0"/>
        <v>-709</v>
      </c>
      <c r="G42" s="4">
        <f t="shared" si="1"/>
        <v>-1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45840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46211</v>
      </c>
      <c r="D43" s="27">
        <f>IFERROR(INDEX(Données!F:F,MATCH($D$4&amp;"|"&amp;TEXT(B43,"aaaa-mm-jj"),Données!A:A,0)),0)</f>
        <v>862</v>
      </c>
      <c r="E43" s="68">
        <f>IFERROR(INDEX(Données!F:F,MATCH($E$4&amp;"|"&amp;TEXT(C43,"aaaa-mm-jj"),Données!A:A,0)),0)</f>
        <v>0</v>
      </c>
      <c r="F43" s="3">
        <f t="shared" si="0"/>
        <v>-862</v>
      </c>
      <c r="G43" s="4">
        <f t="shared" si="1"/>
        <v>-1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46213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46214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46215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46216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46217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46218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46219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46220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46221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46222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14222.2</v>
      </c>
      <c r="E54" s="28">
        <f>SUMIFS(E:E, C:C, "&gt;="&amp;DATE(YEAR($M$2),MONTH($M$2),1), C:C, "&lt;"&amp;DATE(YEAR($M$2),MONTH($M$2)+1,1))</f>
        <v>0</v>
      </c>
      <c r="F54" s="29">
        <f>E54 - D54</f>
        <v>-14222.2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mai!D56 + D54</f>
        <v>151284.6</v>
      </c>
      <c r="E56" s="5">
        <f>mai!E56 + E54</f>
        <v>78275.7</v>
      </c>
      <c r="F56" s="6">
        <f>E56-D56</f>
        <v>-73008.900000000009</v>
      </c>
      <c r="G56" s="7">
        <f>IFERROR((E56-D56)/D56,0)</f>
        <v>-0.4825930729234833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5" priority="5">
      <formula>$A5="lundi"</formula>
    </cfRule>
    <cfRule type="expression" dxfId="4" priority="6">
      <formula>$A5="dimanche"</formula>
    </cfRule>
  </conditionalFormatting>
  <conditionalFormatting sqref="C6:C53">
    <cfRule type="expression" dxfId="3" priority="4">
      <formula>MONTH($C6)&lt;&gt;MONTH($M$2)</formula>
    </cfRule>
  </conditionalFormatting>
  <conditionalFormatting sqref="B6:B53">
    <cfRule type="expression" dxfId="2" priority="3">
      <formula>MONTH($B6)&lt;&gt;MONTH($M$3)</formula>
    </cfRule>
  </conditionalFormatting>
  <conditionalFormatting sqref="E6:E53">
    <cfRule type="expression" dxfId="1" priority="2">
      <formula>MONTH($C6)&lt;&gt;MONTH($M$2)</formula>
    </cfRule>
  </conditionalFormatting>
  <conditionalFormatting sqref="D6:D53">
    <cfRule type="expression" dxfId="0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8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9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0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1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2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3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4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5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6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D1740F-754B-463C-9101-3E5C5730A2A9}">
          <x14:formula1>
            <xm:f>Feuil1!$A$1:$A$19</xm:f>
          </x14:formula1>
          <xm:sqref>D4:E4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12</vt:i4>
      </vt:variant>
    </vt:vector>
  </HeadingPairs>
  <TitlesOfParts>
    <vt:vector size="28" baseType="lpstr">
      <vt:lpstr>ACCUEIL</vt:lpstr>
      <vt:lpstr>Feuil1</vt:lpstr>
      <vt:lpstr>Données</vt:lpstr>
      <vt:lpstr>Récapitulatif</vt:lpstr>
      <vt:lpstr>juillet</vt:lpstr>
      <vt:lpstr>août</vt:lpstr>
      <vt:lpstr>septembre</vt:lpstr>
      <vt:lpstr>octobre</vt:lpstr>
      <vt:lpstr>novembre</vt:lpstr>
      <vt:lpstr>décembre</vt:lpstr>
      <vt:lpstr>janvier</vt:lpstr>
      <vt:lpstr>février</vt:lpstr>
      <vt:lpstr>mars</vt:lpstr>
      <vt:lpstr>avril</vt:lpstr>
      <vt:lpstr>mai</vt:lpstr>
      <vt:lpstr>juin</vt:lpstr>
      <vt:lpstr>août!Zone_d_impression</vt:lpstr>
      <vt:lpstr>avril!Zone_d_impression</vt:lpstr>
      <vt:lpstr>décembre!Zone_d_impression</vt:lpstr>
      <vt:lpstr>février!Zone_d_impression</vt:lpstr>
      <vt:lpstr>janvier!Zone_d_impression</vt:lpstr>
      <vt:lpstr>juillet!Zone_d_impression</vt:lpstr>
      <vt:lpstr>juin!Zone_d_impression</vt:lpstr>
      <vt:lpstr>mai!Zone_d_impression</vt:lpstr>
      <vt:lpstr>mars!Zone_d_impression</vt:lpstr>
      <vt:lpstr>novembre!Zone_d_impression</vt:lpstr>
      <vt:lpstr>octobre!Zone_d_impression</vt:lpstr>
      <vt:lpstr>septembre!Zone_d_impression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Vincent Lem</cp:lastModifiedBy>
  <cp:lastPrinted>2025-12-23T06:01:04Z</cp:lastPrinted>
  <dcterms:created xsi:type="dcterms:W3CDTF">2025-12-19T15:36:21Z</dcterms:created>
  <dcterms:modified xsi:type="dcterms:W3CDTF">2025-12-25T03:13:20Z</dcterms:modified>
</cp:coreProperties>
</file>